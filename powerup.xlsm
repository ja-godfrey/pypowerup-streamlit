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drawings/drawing7.xml" ContentType="application/vnd.openxmlformats-officedocument.drawing+xml"/>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embeddings/oleObject8.bin" ContentType="application/vnd.openxmlformats-officedocument.oleObject"/>
  <Override PartName="/xl/embeddings/oleObject9.bin" ContentType="application/vnd.openxmlformats-officedocument.oleObject"/>
  <Override PartName="/xl/drawings/drawing13.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drawings/drawing14.xml" ContentType="application/vnd.openxmlformats-officedocument.drawing+xml"/>
  <Override PartName="/xl/drawings/drawing15.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drawings/drawing16.xml" ContentType="application/vnd.openxmlformats-officedocument.drawing+xml"/>
  <Override PartName="/xl/drawings/drawing17.xml" ContentType="application/vnd.openxmlformats-officedocument.drawing+xml"/>
  <Override PartName="/xl/embeddings/oleObject22.bin" ContentType="application/vnd.openxmlformats-officedocument.oleObject"/>
  <Override PartName="/xl/embeddings/oleObject23.bin" ContentType="application/vnd.openxmlformats-officedocument.oleObject"/>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embeddings/oleObject24.bin" ContentType="application/vnd.openxmlformats-officedocument.oleObject"/>
  <Override PartName="/xl/embeddings/oleObject25.bin" ContentType="application/vnd.openxmlformats-officedocument.oleObject"/>
  <Override PartName="/xl/drawings/drawing22.xml" ContentType="application/vnd.openxmlformats-officedocument.drawing+xml"/>
  <Override PartName="/xl/drawings/drawing23.xml" ContentType="application/vnd.openxmlformats-officedocument.drawing+xml"/>
  <Override PartName="/xl/ctrlProps/ctrlProp1.xml" ContentType="application/vnd.ms-excel.controlproperties+xml"/>
  <Override PartName="/xl/drawings/drawing24.xml" ContentType="application/vnd.openxmlformats-officedocument.drawing+xml"/>
  <Override PartName="/xl/ctrlProps/ctrlProp2.xml" ContentType="application/vnd.ms-excel.controlproperties+xml"/>
  <Override PartName="/xl/drawings/drawing25.xml" ContentType="application/vnd.openxmlformats-officedocument.drawing+xml"/>
  <Override PartName="/xl/ctrlProps/ctrlProp3.xml" ContentType="application/vnd.ms-excel.controlproperties+xml"/>
  <Override PartName="/xl/drawings/drawing26.xml" ContentType="application/vnd.openxmlformats-officedocument.drawing+xml"/>
  <Override PartName="/xl/embeddings/oleObject26.bin" ContentType="application/vnd.openxmlformats-officedocument.oleObject"/>
  <Override PartName="/xl/ctrlProps/ctrlProp4.xml" ContentType="application/vnd.ms-excel.controlproperties+xml"/>
  <Override PartName="/xl/drawings/drawing27.xml" ContentType="application/vnd.openxmlformats-officedocument.drawing+xml"/>
  <Override PartName="/xl/embeddings/oleObject27.bin" ContentType="application/vnd.openxmlformats-officedocument.oleObject"/>
  <Override PartName="/xl/embeddings/oleObject28.bin" ContentType="application/vnd.openxmlformats-officedocument.oleObject"/>
  <Override PartName="/xl/ctrlProps/ctrlProp5.xml" ContentType="application/vnd.ms-excel.controlproperties+xml"/>
  <Override PartName="/xl/drawings/drawing28.xml" ContentType="application/vnd.openxmlformats-officedocument.drawing+xml"/>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ctrlProps/ctrlProp6.xml" ContentType="application/vnd.ms-excel.controlproperties+xml"/>
  <Override PartName="/xl/drawings/drawing29.xml" ContentType="application/vnd.openxmlformats-officedocument.drawing+xml"/>
  <Override PartName="/xl/ctrlProps/ctrlProp7.xml" ContentType="application/vnd.ms-excel.controlproperties+xml"/>
  <Override PartName="/xl/drawings/drawing30.xml" ContentType="application/vnd.openxmlformats-officedocument.drawing+xml"/>
  <Override PartName="/xl/ctrlProps/ctrlProp8.xml" ContentType="application/vnd.ms-excel.controlproperties+xml"/>
  <Override PartName="/xl/drawings/drawing31.xml" ContentType="application/vnd.openxmlformats-officedocument.drawing+xml"/>
  <Override PartName="/xl/ctrlProps/ctrlProp9.xml" ContentType="application/vnd.ms-excel.controlproperties+xml"/>
  <Override PartName="/xl/drawings/drawing32.xml" ContentType="application/vnd.openxmlformats-officedocument.drawing+xml"/>
  <Override PartName="/xl/ctrlProps/ctrlProp10.xml" ContentType="application/vnd.ms-excel.controlproperties+xml"/>
  <Override PartName="/xl/drawings/drawing33.xml" ContentType="application/vnd.openxmlformats-officedocument.drawing+xml"/>
  <Override PartName="/xl/embeddings/oleObject32.bin" ContentType="application/vnd.openxmlformats-officedocument.oleObject"/>
  <Override PartName="/xl/embeddings/oleObject33.bin" ContentType="application/vnd.openxmlformats-officedocument.oleObject"/>
  <Override PartName="/xl/ctrlProps/ctrlProp11.xml" ContentType="application/vnd.ms-excel.controlproperties+xml"/>
  <Override PartName="/xl/drawings/drawing34.xml" ContentType="application/vnd.openxmlformats-officedocument.drawing+xml"/>
  <Override PartName="/xl/embeddings/oleObject34.bin" ContentType="application/vnd.openxmlformats-officedocument.oleObject"/>
  <Override PartName="/xl/embeddings/oleObject35.bin" ContentType="application/vnd.openxmlformats-officedocument.oleObject"/>
  <Override PartName="/xl/ctrlProps/ctrlProp12.xml" ContentType="application/vnd.ms-excel.controlproperties+xml"/>
  <Override PartName="/xl/drawings/drawing35.xml" ContentType="application/vnd.openxmlformats-officedocument.drawing+xml"/>
  <Override PartName="/xl/ctrlProps/ctrlProp13.xml" ContentType="application/vnd.ms-excel.controlproperties+xml"/>
  <Override PartName="/xl/drawings/drawing36.xml" ContentType="application/vnd.openxmlformats-officedocument.drawing+xml"/>
  <Override PartName="/xl/embeddings/oleObject36.bin" ContentType="application/vnd.openxmlformats-officedocument.oleObject"/>
  <Override PartName="/xl/ctrlProps/ctrlProp14.xml" ContentType="application/vnd.ms-excel.controlproperties+xml"/>
  <Override PartName="/xl/drawings/drawing37.xml" ContentType="application/vnd.openxmlformats-officedocument.drawing+xml"/>
  <Override PartName="/xl/ctrlProps/ctrlProp15.xml" ContentType="application/vnd.ms-excel.controlproperties+xml"/>
  <Override PartName="/xl/drawings/drawing38.xml" ContentType="application/vnd.openxmlformats-officedocument.drawing+xml"/>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ctrlProps/ctrlProp16.xml" ContentType="application/vnd.ms-excel.controlproperties+xml"/>
  <Override PartName="/xl/drawings/drawing39.xml" ContentType="application/vnd.openxmlformats-officedocument.drawing+xml"/>
  <Override PartName="/xl/ctrlProps/ctrlProp17.xml" ContentType="application/vnd.ms-excel.controlproperties+xml"/>
  <Override PartName="/xl/drawings/drawing40.xml" ContentType="application/vnd.openxmlformats-officedocument.drawing+xml"/>
  <Override PartName="/xl/ctrlProps/ctrlProp18.xml" ContentType="application/vnd.ms-excel.controlproperties+xml"/>
  <Override PartName="/xl/drawings/drawing41.xml" ContentType="application/vnd.openxmlformats-officedocument.drawing+xml"/>
  <Override PartName="/xl/ctrlProps/ctrlProp19.xml" ContentType="application/vnd.ms-excel.controlproperties+xml"/>
  <Override PartName="/xl/drawings/drawing42.xml" ContentType="application/vnd.openxmlformats-officedocument.drawing+xml"/>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ctrlProps/ctrlProp20.xml" ContentType="application/vnd.ms-excel.controlproperties+xml"/>
  <Override PartName="/xl/drawings/drawing43.xml" ContentType="application/vnd.openxmlformats-officedocument.drawing+xml"/>
  <Override PartName="/xl/ctrlProps/ctrlProp21.xml" ContentType="application/vnd.ms-excel.controlproperties+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tein\OneDrive\Documents\"/>
    </mc:Choice>
  </mc:AlternateContent>
  <xr:revisionPtr revIDLastSave="0" documentId="8_{6E954818-C2BD-4CE8-A138-A3DCEC2F6F8E}" xr6:coauthVersionLast="47" xr6:coauthVersionMax="47" xr10:uidLastSave="{00000000-0000-0000-0000-000000000000}"/>
  <bookViews>
    <workbookView xWindow="-110" yWindow="-110" windowWidth="19420" windowHeight="11620" tabRatio="954" activeTab="3" xr2:uid="{00000000-000D-0000-FFFF-FFFF00000000}"/>
  </bookViews>
  <sheets>
    <sheet name="INTRO" sheetId="32" r:id="rId1"/>
    <sheet name="Contents" sheetId="81" r:id="rId2"/>
    <sheet name="1.0 IRA" sheetId="6" r:id="rId3"/>
    <sheet name="2.1 BIRA2_1c" sheetId="40" r:id="rId4"/>
    <sheet name="2.2 BIRA2_1f" sheetId="8" r:id="rId5"/>
    <sheet name="2.3 BIRA2_1r" sheetId="19" r:id="rId6"/>
    <sheet name="2.4 BIRA3_1r" sheetId="18" r:id="rId7"/>
    <sheet name="2.5 BIRA4_1r" sheetId="23" r:id="rId8"/>
    <sheet name="3.1 CRA2_2r" sheetId="51" r:id="rId9"/>
    <sheet name="3.2 CRA3_3r" sheetId="17" r:id="rId10"/>
    <sheet name="3.3 CRA4_4r" sheetId="24" r:id="rId11"/>
    <sheet name="4.1 BCRA3_2f" sheetId="34" r:id="rId12"/>
    <sheet name="4.2 BCRA3_2r" sheetId="13" r:id="rId13"/>
    <sheet name="4.3 BCRA4_2r" sheetId="22" r:id="rId14"/>
    <sheet name="4.4 BCRA4_3f" sheetId="35" r:id="rId15"/>
    <sheet name="4.5 BCRA4_3r" sheetId="21" r:id="rId16"/>
    <sheet name="5.1 RD2_1f" sheetId="44" r:id="rId17"/>
    <sheet name="5.2 RD2_1r" sheetId="41" r:id="rId18"/>
    <sheet name="5.3 RDC_2r" sheetId="43" r:id="rId19"/>
    <sheet name="5.4 RDC_3r" sheetId="42" r:id="rId20"/>
    <sheet name="5.5 RD3_2f" sheetId="45" r:id="rId21"/>
    <sheet name="5.6 RD3_2r" sheetId="46" r:id="rId22"/>
    <sheet name="6.0 ITS" sheetId="15" r:id="rId23"/>
    <sheet name="1.0 N_IRA" sheetId="82" r:id="rId24"/>
    <sheet name="2.1 N_BRIA2_1c" sheetId="83" r:id="rId25"/>
    <sheet name="2.2 N_BIRA2_1f" sheetId="84" r:id="rId26"/>
    <sheet name="2.3 N_BIRA2_1r" sheetId="85" r:id="rId27"/>
    <sheet name="2.4 N_BIRA3_1r" sheetId="86" r:id="rId28"/>
    <sheet name="2.5 N_BIRA4_1r" sheetId="87" r:id="rId29"/>
    <sheet name="3.1 N_CRA2_2r" sheetId="54" r:id="rId30"/>
    <sheet name="3.2 N_CRA3_3r" sheetId="89" r:id="rId31"/>
    <sheet name="3.3 N_CRA4_4r" sheetId="59" r:id="rId32"/>
    <sheet name="4.1 N_BCRA3_2f" sheetId="65" r:id="rId33"/>
    <sheet name="4.2 N_BCRA3_2r" sheetId="66" r:id="rId34"/>
    <sheet name="4.3 N_BCRA4_2r" sheetId="68" r:id="rId35"/>
    <sheet name="4.4 N_BCRA4_3f" sheetId="69" r:id="rId36"/>
    <sheet name="4.5 N_BCRA4_3r" sheetId="70" r:id="rId37"/>
    <sheet name="5.1 N_RD2_1f" sheetId="71" r:id="rId38"/>
    <sheet name="5.2 N_RD2_1r" sheetId="74" r:id="rId39"/>
    <sheet name="5.3 N_RDC_2r" sheetId="73" r:id="rId40"/>
    <sheet name="5.4 N_RDC_3r" sheetId="76" r:id="rId41"/>
    <sheet name="5.5 N_RD3_2f" sheetId="72" r:id="rId42"/>
    <sheet name="5.6 N_RD3_2r" sheetId="75" r:id="rId43"/>
    <sheet name="6.0 N_ITS" sheetId="78" r:id="rId44"/>
    <sheet name="HARMON.MEAN" sheetId="39" r:id="rId45"/>
    <sheet name="References" sheetId="49" r:id="rId46"/>
    <sheet name="step 1" sheetId="26" r:id="rId47"/>
    <sheet name="step 1b" sheetId="80" r:id="rId48"/>
    <sheet name="step 2" sheetId="27" r:id="rId49"/>
    <sheet name="step 3" sheetId="28" r:id="rId50"/>
    <sheet name="step 4a" sheetId="29" r:id="rId51"/>
    <sheet name="step 4b" sheetId="30" r:id="rId52"/>
    <sheet name="step 4c" sheetId="31" r:id="rId53"/>
    <sheet name="step 4d" sheetId="47" r:id="rId54"/>
    <sheet name="step 5" sheetId="79" r:id="rId55"/>
    <sheet name="Notes" sheetId="88" r:id="rId56"/>
  </sheets>
  <definedNames>
    <definedName name="_xlnm.Print_Area" localSheetId="2">'1.0 IRA'!$A$1:$E$16</definedName>
    <definedName name="_xlnm.Print_Area" localSheetId="23">'1.0 N_IRA'!$A$1:$C$18</definedName>
    <definedName name="_xlnm.Print_Area" localSheetId="3">'2.1 BIRA2_1c'!$A$1:$E$16</definedName>
    <definedName name="_xlnm.Print_Area" localSheetId="24">'2.1 N_BRIA2_1c'!$A$1:$C$19</definedName>
    <definedName name="_xlnm.Print_Area" localSheetId="4">'2.2 BIRA2_1f'!$B$1:$D$16</definedName>
    <definedName name="_xlnm.Print_Area" localSheetId="25">'2.2 N_BIRA2_1f'!$A$1:$C$19</definedName>
    <definedName name="_xlnm.Print_Area" localSheetId="5">'2.3 BIRA2_1r'!$A$1:$D$19</definedName>
    <definedName name="_xlnm.Print_Area" localSheetId="26">'2.3 N_BIRA2_1r'!$A$1:$C$22</definedName>
    <definedName name="_xlnm.Print_Area" localSheetId="6">'2.4 BIRA3_1r'!$A$1:$D$23</definedName>
    <definedName name="_xlnm.Print_Area" localSheetId="27">'2.4 N_BIRA3_1r'!$A$1:$C$26</definedName>
    <definedName name="_xlnm.Print_Area" localSheetId="7">'2.5 BIRA4_1r'!$A$1:$D$27</definedName>
    <definedName name="_xlnm.Print_Area" localSheetId="28">'2.5 N_BIRA4_1r'!$A$1:$C$30</definedName>
    <definedName name="_xlnm.Print_Area" localSheetId="8">'3.1 CRA2_2r'!$A$1:$D$18</definedName>
    <definedName name="_xlnm.Print_Area" localSheetId="29">'3.1 N_CRA2_2r'!$A$1:$C$23</definedName>
    <definedName name="_xlnm.Print_Area" localSheetId="9">'3.2 CRA3_3r'!$A$1:$D$21</definedName>
    <definedName name="_xlnm.Print_Area" localSheetId="30">'3.2 N_CRA3_3r'!$A$1:$C$24</definedName>
    <definedName name="_xlnm.Print_Area" localSheetId="10">'3.3 CRA4_4r'!$A$1:$D$24</definedName>
    <definedName name="_xlnm.Print_Area" localSheetId="31">'3.3 N_CRA4_4r'!$A$1:$C$27</definedName>
    <definedName name="_xlnm.Print_Area" localSheetId="11">'4.1 BCRA3_2f'!$A$1:$D$19</definedName>
    <definedName name="_xlnm.Print_Area" localSheetId="32">'4.1 N_BCRA3_2f'!$A$1:$C$24</definedName>
    <definedName name="_xlnm.Print_Area" localSheetId="12">'4.2 BCRA3_2r'!$A$1:$D$22</definedName>
    <definedName name="_xlnm.Print_Area" localSheetId="33">'4.2 N_BCRA3_2r'!$A$1:$C$26</definedName>
    <definedName name="_xlnm.Print_Area" localSheetId="13">'4.3 BCRA4_2r'!$A$1:$D$26</definedName>
    <definedName name="_xlnm.Print_Area" localSheetId="34">'4.3 N_BCRA4_2r'!$A$1:$C$29</definedName>
    <definedName name="_xlnm.Print_Area" localSheetId="14">'4.4 BCRA4_3f'!$A$1:$D$22</definedName>
    <definedName name="_xlnm.Print_Area" localSheetId="35">'4.4 N_BCRA4_3f'!$A$1:$C$22</definedName>
    <definedName name="_xlnm.Print_Area" localSheetId="15">'4.5 BCRA4_3r'!$A$1:$D$25</definedName>
    <definedName name="_xlnm.Print_Area" localSheetId="36">'4.5 N_BCRA4_3r'!$A$1:$C$25</definedName>
    <definedName name="_xlnm.Print_Area" localSheetId="37">'5.1 N_RD2_1f'!$A$1:$C$24</definedName>
    <definedName name="_xlnm.Print_Area" localSheetId="16">'5.1 RD2_1f'!$A$1:$D$19</definedName>
    <definedName name="_xlnm.Print_Area" localSheetId="38">'5.2 N_RD2_1r'!$A$1:$C$27</definedName>
    <definedName name="_xlnm.Print_Area" localSheetId="17">'5.2 RD2_1r'!$B$1:$D$22</definedName>
    <definedName name="_xlnm.Print_Area" localSheetId="39">'5.3 N_RDC_2r'!$A$1:$C$26</definedName>
    <definedName name="_xlnm.Print_Area" localSheetId="18">'5.3 RDC_2r'!$B$1:$D$21</definedName>
    <definedName name="_xlnm.Print_Area" localSheetId="40">'5.4 N_RDC_3r'!$A$1:$C$30</definedName>
    <definedName name="_xlnm.Print_Area" localSheetId="19">'5.4 RDC_3r'!$A$1:$D$24</definedName>
    <definedName name="_xlnm.Print_Area" localSheetId="41">'5.5 N_RD3_2f'!$A$1:$C$27</definedName>
    <definedName name="_xlnm.Print_Area" localSheetId="20">'5.5 RD3_2f'!$A$1:$D$22</definedName>
    <definedName name="_xlnm.Print_Area" localSheetId="42">'5.6 N_RD3_2r'!$A$1:$C$29</definedName>
    <definedName name="_xlnm.Print_Area" localSheetId="21">'5.6 RD3_2r'!$A$1:$D$25</definedName>
    <definedName name="_xlnm.Print_Area" localSheetId="22">'6.0 ITS'!$A$1:$D$20</definedName>
    <definedName name="_xlnm.Print_Area" localSheetId="43">'6.0 N_ITS'!$A$1:$C$22</definedName>
    <definedName name="_xlnm.Print_Area" localSheetId="1">Contents!$A$1:$K$29</definedName>
    <definedName name="_xlnm.Print_Area" localSheetId="44">HARMON.MEAN!$A$1:$I$25</definedName>
    <definedName name="_xlnm.Print_Area" localSheetId="0">INTRO!$B$1:$M$35</definedName>
    <definedName name="_xlnm.Print_Area" localSheetId="45">References!$A$1:$A$29</definedName>
    <definedName name="_xlnm.Print_Area" localSheetId="46">'step 1'!$A$1:$K$43</definedName>
    <definedName name="_xlnm.Print_Area" localSheetId="47">'step 1b'!$A$1:$F$43</definedName>
    <definedName name="_xlnm.Print_Area" localSheetId="48">'step 2'!$A$1:$K$38</definedName>
    <definedName name="_xlnm.Print_Area" localSheetId="49">'step 3'!$A$1:$K$38</definedName>
    <definedName name="_xlnm.Print_Area" localSheetId="50">'step 4a'!$A$1:$J$43</definedName>
    <definedName name="_xlnm.Print_Area" localSheetId="51">'step 4b'!$A$1:$K$42</definedName>
    <definedName name="_xlnm.Print_Area" localSheetId="52">'step 4c'!$A$1:$K$37</definedName>
    <definedName name="_xlnm.Print_Area" localSheetId="53">'step 4d'!$A$1:$K$38</definedName>
    <definedName name="_xlnm.Print_Area" localSheetId="54">'step 5'!$A$1:$F$43</definedName>
    <definedName name="References">References!$A$1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8" i="54" l="1"/>
  <c r="B19" i="54" s="1"/>
  <c r="B18" i="89" l="1"/>
  <c r="B17" i="89"/>
  <c r="B20" i="75"/>
  <c r="B19" i="75"/>
  <c r="B19" i="76"/>
  <c r="B18" i="76"/>
  <c r="B17" i="74"/>
  <c r="B16" i="74"/>
  <c r="B20" i="76" l="1"/>
  <c r="B21" i="75"/>
  <c r="B22" i="75"/>
  <c r="B21" i="76"/>
  <c r="B18" i="74"/>
  <c r="B19" i="74" l="1"/>
  <c r="B19" i="69" l="1"/>
  <c r="B18" i="69"/>
  <c r="B20" i="69" s="1"/>
  <c r="B21" i="69" l="1"/>
  <c r="B16" i="54" l="1"/>
  <c r="B19" i="89" l="1"/>
  <c r="C15" i="15"/>
  <c r="C16" i="15"/>
  <c r="B20" i="89" l="1"/>
  <c r="C14" i="15"/>
  <c r="C17" i="15" s="1"/>
  <c r="C18" i="15" s="1"/>
  <c r="C20" i="24"/>
  <c r="C19" i="24" s="1"/>
  <c r="C22" i="24" s="1"/>
  <c r="C21" i="24"/>
  <c r="B27" i="75" l="1"/>
  <c r="B25" i="74"/>
  <c r="B15" i="73"/>
  <c r="B17" i="73" s="1"/>
  <c r="B16" i="73"/>
  <c r="C20" i="45" l="1"/>
  <c r="B24" i="87" l="1"/>
  <c r="B23" i="87"/>
  <c r="B20" i="86"/>
  <c r="B19" i="86"/>
  <c r="B16" i="85"/>
  <c r="B15" i="85"/>
  <c r="B15" i="84"/>
  <c r="B13" i="84"/>
  <c r="B12" i="84"/>
  <c r="B13" i="83"/>
  <c r="B12" i="83"/>
  <c r="B12" i="82"/>
  <c r="B11" i="82"/>
  <c r="B17" i="85" l="1"/>
  <c r="B21" i="86"/>
  <c r="B13" i="82"/>
  <c r="B14" i="82" s="1"/>
  <c r="B14" i="84"/>
  <c r="B25" i="87"/>
  <c r="B14" i="83"/>
  <c r="C12" i="40"/>
  <c r="C13" i="40"/>
  <c r="B18" i="85" l="1"/>
  <c r="B22" i="86"/>
  <c r="C11" i="40"/>
  <c r="B26" i="87"/>
  <c r="B15" i="83"/>
  <c r="B15" i="78" l="1"/>
  <c r="B16" i="78"/>
  <c r="B16" i="72"/>
  <c r="B17" i="72"/>
  <c r="B13" i="71"/>
  <c r="B14" i="71"/>
  <c r="B21" i="70"/>
  <c r="B22" i="70"/>
  <c r="B22" i="68"/>
  <c r="B23" i="68"/>
  <c r="B18" i="66"/>
  <c r="B19" i="66"/>
  <c r="B15" i="65"/>
  <c r="B16" i="65"/>
  <c r="B20" i="59"/>
  <c r="B21" i="59"/>
  <c r="C29" i="81"/>
  <c r="C7" i="81"/>
  <c r="B28" i="76"/>
  <c r="B24" i="73"/>
  <c r="B25" i="72"/>
  <c r="C13" i="44"/>
  <c r="C14" i="44"/>
  <c r="B22" i="71"/>
  <c r="C12" i="8"/>
  <c r="C13" i="8"/>
  <c r="C14" i="40"/>
  <c r="C14" i="51"/>
  <c r="C15" i="51"/>
  <c r="C12" i="6"/>
  <c r="C11" i="6"/>
  <c r="B17" i="54"/>
  <c r="C19" i="43"/>
  <c r="C17" i="44"/>
  <c r="C22" i="42"/>
  <c r="C23" i="46"/>
  <c r="C20" i="41"/>
  <c r="C20" i="46"/>
  <c r="C19" i="46"/>
  <c r="C17" i="45"/>
  <c r="C16" i="45"/>
  <c r="C15" i="43"/>
  <c r="C16" i="43"/>
  <c r="C18" i="42"/>
  <c r="C19" i="42"/>
  <c r="C17" i="17"/>
  <c r="C18" i="17"/>
  <c r="C16" i="41"/>
  <c r="C17" i="41"/>
  <c r="C15" i="19"/>
  <c r="C16" i="19"/>
  <c r="C19" i="35"/>
  <c r="C18" i="35"/>
  <c r="C16" i="34"/>
  <c r="C15" i="34"/>
  <c r="A20" i="39"/>
  <c r="C23" i="23"/>
  <c r="C24" i="23"/>
  <c r="C22" i="22"/>
  <c r="C23" i="22"/>
  <c r="C21" i="21"/>
  <c r="C22" i="21"/>
  <c r="C19" i="18"/>
  <c r="C20" i="18"/>
  <c r="C18" i="13"/>
  <c r="C19" i="13"/>
  <c r="C17" i="42" l="1"/>
  <c r="C20" i="42" s="1"/>
  <c r="C14" i="43"/>
  <c r="C17" i="43" s="1"/>
  <c r="C15" i="45"/>
  <c r="C18" i="45" s="1"/>
  <c r="C18" i="46"/>
  <c r="C21" i="46" s="1"/>
  <c r="C10" i="6"/>
  <c r="C13" i="6" s="1"/>
  <c r="C17" i="13"/>
  <c r="C20" i="13" s="1"/>
  <c r="C18" i="18"/>
  <c r="C21" i="18" s="1"/>
  <c r="C20" i="21"/>
  <c r="C23" i="21" s="1"/>
  <c r="C21" i="22"/>
  <c r="C24" i="22" s="1"/>
  <c r="C22" i="23"/>
  <c r="C25" i="23" s="1"/>
  <c r="C14" i="34"/>
  <c r="C17" i="34" s="1"/>
  <c r="C17" i="35"/>
  <c r="C20" i="35" s="1"/>
  <c r="C13" i="51"/>
  <c r="C16" i="51" s="1"/>
  <c r="C11" i="8"/>
  <c r="C14" i="8" s="1"/>
  <c r="C12" i="44"/>
  <c r="C15" i="44" s="1"/>
  <c r="C14" i="19"/>
  <c r="C17" i="19" s="1"/>
  <c r="B17" i="65"/>
  <c r="B24" i="68"/>
  <c r="B22" i="59"/>
  <c r="B20" i="66"/>
  <c r="B15" i="71"/>
  <c r="B18" i="72"/>
  <c r="B17" i="78"/>
  <c r="C15" i="41"/>
  <c r="C18" i="41" s="1"/>
  <c r="C16" i="17"/>
  <c r="C19" i="17" s="1"/>
  <c r="B18" i="73"/>
  <c r="B23" i="70"/>
  <c r="B20" i="78" l="1"/>
  <c r="B18" i="65"/>
  <c r="B19" i="72"/>
  <c r="B16" i="71"/>
  <c r="B25" i="68"/>
  <c r="B23" i="59"/>
  <c r="B21" i="66"/>
  <c r="B24" i="70"/>
  <c r="B18" i="78" l="1"/>
</calcChain>
</file>

<file path=xl/sharedStrings.xml><?xml version="1.0" encoding="utf-8"?>
<sst xmlns="http://schemas.openxmlformats.org/spreadsheetml/2006/main" count="1802" uniqueCount="537">
  <si>
    <t>Assumptions</t>
  </si>
  <si>
    <t>Comments</t>
  </si>
  <si>
    <r>
      <t>R</t>
    </r>
    <r>
      <rPr>
        <vertAlign val="subscript"/>
        <sz val="14"/>
        <rFont val="Garamond"/>
        <family val="1"/>
      </rPr>
      <t>1</t>
    </r>
    <r>
      <rPr>
        <vertAlign val="superscript"/>
        <sz val="14"/>
        <rFont val="Garamond"/>
        <family val="1"/>
      </rPr>
      <t>2</t>
    </r>
  </si>
  <si>
    <t>M (Multiplier)</t>
    <phoneticPr fontId="0" type="noConversion"/>
  </si>
  <si>
    <t>Rho (ICC)</t>
    <phoneticPr fontId="0" type="noConversion"/>
  </si>
  <si>
    <t>g*</t>
    <phoneticPr fontId="0" type="noConversion"/>
  </si>
  <si>
    <t>MDES</t>
    <phoneticPr fontId="0" type="noConversion"/>
  </si>
  <si>
    <t>Minimum Detectable Effect Size</t>
    <phoneticPr fontId="0" type="noConversion"/>
  </si>
  <si>
    <t>k*</t>
    <phoneticPr fontId="0" type="noConversion"/>
  </si>
  <si>
    <t xml:space="preserve">P </t>
    <phoneticPr fontId="0" type="noConversion"/>
  </si>
  <si>
    <t>P</t>
    <phoneticPr fontId="0" type="noConversion"/>
  </si>
  <si>
    <t>M (Multiplier)</t>
    <phoneticPr fontId="0" type="noConversion"/>
  </si>
  <si>
    <t xml:space="preserve">P </t>
    <phoneticPr fontId="0" type="noConversion"/>
  </si>
  <si>
    <t>MDES</t>
    <phoneticPr fontId="0" type="noConversion"/>
  </si>
  <si>
    <t>Minimum Detectable Effect Size</t>
    <phoneticPr fontId="0" type="noConversion"/>
  </si>
  <si>
    <t>MDES</t>
    <phoneticPr fontId="0" type="noConversion"/>
  </si>
  <si>
    <t>Minimum Detectable Effect Size</t>
    <phoneticPr fontId="0" type="noConversion"/>
  </si>
  <si>
    <t>T (the number of baseline years)</t>
  </si>
  <si>
    <r>
      <t>Rho</t>
    </r>
    <r>
      <rPr>
        <vertAlign val="subscript"/>
        <sz val="14"/>
        <rFont val="Garamond"/>
        <family val="1"/>
      </rPr>
      <t>3</t>
    </r>
    <r>
      <rPr>
        <sz val="14"/>
        <rFont val="Garamond"/>
        <family val="1"/>
      </rPr>
      <t xml:space="preserve"> (ICC</t>
    </r>
    <r>
      <rPr>
        <vertAlign val="subscript"/>
        <sz val="14"/>
        <rFont val="Garamond"/>
        <family val="1"/>
      </rPr>
      <t>3</t>
    </r>
    <r>
      <rPr>
        <sz val="14"/>
        <rFont val="Garamond"/>
        <family val="1"/>
      </rPr>
      <t>)</t>
    </r>
  </si>
  <si>
    <r>
      <t>g</t>
    </r>
    <r>
      <rPr>
        <vertAlign val="subscript"/>
        <sz val="14"/>
        <rFont val="Garamond"/>
        <family val="1"/>
      </rPr>
      <t>3</t>
    </r>
    <r>
      <rPr>
        <sz val="14"/>
        <rFont val="Garamond"/>
        <family val="1"/>
      </rPr>
      <t>*</t>
    </r>
  </si>
  <si>
    <r>
      <t>R</t>
    </r>
    <r>
      <rPr>
        <vertAlign val="subscript"/>
        <sz val="14"/>
        <rFont val="Garamond"/>
        <family val="1"/>
      </rPr>
      <t>4</t>
    </r>
    <r>
      <rPr>
        <vertAlign val="superscript"/>
        <sz val="14"/>
        <rFont val="Garamond"/>
        <family val="1"/>
      </rPr>
      <t>2</t>
    </r>
  </si>
  <si>
    <r>
      <t>g</t>
    </r>
    <r>
      <rPr>
        <vertAlign val="subscript"/>
        <sz val="14"/>
        <rFont val="Garamond"/>
        <family val="1"/>
      </rPr>
      <t>4</t>
    </r>
    <r>
      <rPr>
        <sz val="14"/>
        <rFont val="Garamond"/>
        <family val="1"/>
      </rPr>
      <t>*</t>
    </r>
  </si>
  <si>
    <r>
      <t>Rho</t>
    </r>
    <r>
      <rPr>
        <vertAlign val="subscript"/>
        <sz val="14"/>
        <rFont val="Garamond"/>
        <family val="1"/>
      </rPr>
      <t>4</t>
    </r>
    <r>
      <rPr>
        <sz val="14"/>
        <rFont val="Garamond"/>
        <family val="1"/>
      </rPr>
      <t xml:space="preserve"> (ICC</t>
    </r>
    <r>
      <rPr>
        <vertAlign val="subscript"/>
        <sz val="14"/>
        <rFont val="Garamond"/>
        <family val="1"/>
      </rPr>
      <t>4</t>
    </r>
    <r>
      <rPr>
        <sz val="14"/>
        <rFont val="Garamond"/>
        <family val="1"/>
      </rPr>
      <t>)</t>
    </r>
  </si>
  <si>
    <t>The number of covariates used</t>
  </si>
  <si>
    <r>
      <t>Computed from T</t>
    </r>
    <r>
      <rPr>
        <vertAlign val="subscript"/>
        <sz val="14"/>
        <rFont val="Garamond"/>
        <family val="1"/>
      </rPr>
      <t>1</t>
    </r>
    <r>
      <rPr>
        <sz val="14"/>
        <rFont val="Garamond"/>
        <family val="1"/>
      </rPr>
      <t xml:space="preserve"> and T</t>
    </r>
    <r>
      <rPr>
        <vertAlign val="subscript"/>
        <sz val="14"/>
        <rFont val="Garamond"/>
        <family val="1"/>
      </rPr>
      <t>2</t>
    </r>
  </si>
  <si>
    <t>The number of Level 2 units in the sample</t>
  </si>
  <si>
    <t>n (Average Cluster Size)</t>
  </si>
  <si>
    <t>J (Sample Size  [# of Clusters])</t>
  </si>
  <si>
    <t>K (Sample Size  [# of Level 3 units])</t>
  </si>
  <si>
    <t>The number of Level 3 units in the sample</t>
  </si>
  <si>
    <t>L (Sample Size [# of Level 4 units])</t>
  </si>
  <si>
    <t>The number of covariates used for Level 3</t>
  </si>
  <si>
    <t>Note: The parameters in yellow cells need to be specified. The MDES will be calculated automatically.</t>
  </si>
  <si>
    <t>The number of Level 4 units in the sample</t>
  </si>
  <si>
    <t xml:space="preserve">Computed from T1 and T2.  2.5 was used in Bloom (1999). </t>
  </si>
  <si>
    <r>
      <t>t</t>
    </r>
    <r>
      <rPr>
        <vertAlign val="subscript"/>
        <sz val="14"/>
        <rFont val="Garamond"/>
        <family val="1"/>
      </rPr>
      <t xml:space="preserve">f </t>
    </r>
    <r>
      <rPr>
        <sz val="14"/>
        <rFont val="Garamond"/>
        <family val="1"/>
      </rPr>
      <t>(follow-up year of interest)</t>
    </r>
  </si>
  <si>
    <t>Two-tailed or One-tailed Test?</t>
  </si>
  <si>
    <t>Mean number of Level 1 units per Level 2 cluster (harmonic mean recommended)</t>
  </si>
  <si>
    <t xml:space="preserve">Proportion of Level-3 units that is randomized to treatment </t>
  </si>
  <si>
    <t>n (Average Sample Size for Level 1)</t>
  </si>
  <si>
    <t>J (Average Sample Size for Level 2)</t>
  </si>
  <si>
    <t>Mean number of Level 1 units per Level 2 unit (harmonic mean recommended)</t>
  </si>
  <si>
    <t>Mean number of Level 2 units per Level 3 unit (harmonic mean recommended)</t>
  </si>
  <si>
    <t>Mean number of Level 3 units per Level 4 unit (harmonic mean recommended)</t>
  </si>
  <si>
    <t>K (Average Sample Size for Level 3)</t>
  </si>
  <si>
    <r>
      <t>Proportion of Level 1 units that is randomized to treatment. i.e.,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</si>
  <si>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t>Mean number of Level 1 units per Level 2 unit, or cohort (harmonic mean recommended)</t>
  </si>
  <si>
    <t>MDES (no comparison units)</t>
  </si>
  <si>
    <t>The number of years prior to intervention for which the baseline, or pre-intervention, trend is established.</t>
  </si>
  <si>
    <t>ITS</t>
  </si>
  <si>
    <r>
      <t>Rho</t>
    </r>
    <r>
      <rPr>
        <vertAlign val="subscript"/>
        <sz val="14"/>
        <rFont val="Garamond"/>
        <family val="1"/>
      </rPr>
      <t>2</t>
    </r>
    <r>
      <rPr>
        <sz val="14"/>
        <rFont val="Garamond"/>
        <family val="1"/>
      </rPr>
      <t xml:space="preserve"> (ICC</t>
    </r>
    <r>
      <rPr>
        <vertAlign val="subscript"/>
        <sz val="14"/>
        <rFont val="Garamond"/>
        <family val="1"/>
      </rPr>
      <t>2</t>
    </r>
    <r>
      <rPr>
        <sz val="14"/>
        <rFont val="Garamond"/>
        <family val="1"/>
      </rPr>
      <t>)</t>
    </r>
  </si>
  <si>
    <r>
      <t>R</t>
    </r>
    <r>
      <rPr>
        <vertAlign val="subscript"/>
        <sz val="14"/>
        <rFont val="Garamond"/>
        <family val="1"/>
      </rPr>
      <t>2</t>
    </r>
    <r>
      <rPr>
        <vertAlign val="superscript"/>
        <sz val="14"/>
        <rFont val="Garamond"/>
        <family val="1"/>
      </rPr>
      <t>2</t>
    </r>
  </si>
  <si>
    <r>
      <t>g</t>
    </r>
    <r>
      <rPr>
        <vertAlign val="subscript"/>
        <sz val="14"/>
        <rFont val="Garamond"/>
        <family val="1"/>
      </rPr>
      <t>2</t>
    </r>
    <r>
      <rPr>
        <sz val="14"/>
        <rFont val="Garamond"/>
        <family val="1"/>
      </rPr>
      <t>*</t>
    </r>
  </si>
  <si>
    <t>n (Average Sample Size [Students])</t>
    <phoneticPr fontId="0" type="noConversion"/>
  </si>
  <si>
    <t>J (Average Sample Size  for Level 2 [Classes #])</t>
    <phoneticPr fontId="0" type="noConversion"/>
  </si>
  <si>
    <r>
      <t>R</t>
    </r>
    <r>
      <rPr>
        <vertAlign val="subscript"/>
        <sz val="14"/>
        <rFont val="Garamond"/>
        <family val="1"/>
      </rPr>
      <t>3</t>
    </r>
    <r>
      <rPr>
        <vertAlign val="superscript"/>
        <sz val="14"/>
        <rFont val="Garamond"/>
        <family val="1"/>
      </rPr>
      <t>2</t>
    </r>
  </si>
  <si>
    <t>K (Sample Size for Level 3 [School #])</t>
  </si>
  <si>
    <t>L (Sample Size for Level 4 [District #])</t>
  </si>
  <si>
    <t>n (Average Block Size)</t>
  </si>
  <si>
    <t>J (Sample Size  [# of Blocks])</t>
  </si>
  <si>
    <t>Priori-J (Sample Size  [Clusters #])</t>
  </si>
  <si>
    <t>The number of covariates used for Level 2</t>
  </si>
  <si>
    <t>Computed from given alpha Level, two-tailed or one-tailed test</t>
  </si>
  <si>
    <t>Computed from given power Level</t>
  </si>
  <si>
    <r>
      <t>R</t>
    </r>
    <r>
      <rPr>
        <vertAlign val="superscript"/>
        <sz val="14"/>
        <rFont val="Garamond"/>
        <family val="1"/>
      </rPr>
      <t>2</t>
    </r>
  </si>
  <si>
    <t>HARMONIC MEAN CALCULATOR</t>
  </si>
  <si>
    <t>Values</t>
  </si>
  <si>
    <t>HARMONIC MEAN</t>
  </si>
  <si>
    <t>Design Effect</t>
    <phoneticPr fontId="9" type="noConversion"/>
  </si>
  <si>
    <t>Design Effect</t>
  </si>
  <si>
    <t>Study Design</t>
  </si>
  <si>
    <t>Note: The parameters in the yellow cells need to be specified. The MDES will be calculated automatically.</t>
  </si>
  <si>
    <t>Computed from given alpha Level, two-tailed or one-tailed test. df=m*T-g-1.</t>
  </si>
  <si>
    <t>Computed from given power Level. df=df=m*T-g-1.</t>
  </si>
  <si>
    <t>(# comparison schools / # program schools)  at block level</t>
  </si>
  <si>
    <r>
      <t>The proportion of level 2 units that is randomized to treatment. i.e.,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</si>
  <si>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MRES = MDES</t>
  </si>
  <si>
    <t>Cluster/ Block Effect</t>
  </si>
  <si>
    <t>random</t>
  </si>
  <si>
    <t>constant</t>
  </si>
  <si>
    <t>fixed</t>
  </si>
  <si>
    <t>Konstantopoulos, S. (2008b). The power of the test for treatment effects in three-level block randomized designs. Journal of Research on Educational Effectiveness, 1, 265-288.</t>
  </si>
  <si>
    <t>Minimum Detectable Effect Size</t>
    <phoneticPr fontId="0" type="noConversion"/>
  </si>
  <si>
    <t>Rho (ICC)</t>
    <phoneticPr fontId="0" type="noConversion"/>
  </si>
  <si>
    <t>Correlation between TREATMENT and the score that is used for treatment assignment</t>
  </si>
  <si>
    <t>Estimated Design Effect</t>
  </si>
  <si>
    <r>
      <t xml:space="preserve">    Priori-T</t>
    </r>
    <r>
      <rPr>
        <vertAlign val="subscript"/>
        <sz val="14"/>
        <rFont val="Garamond"/>
        <family val="1"/>
      </rPr>
      <t xml:space="preserve">1 </t>
    </r>
    <r>
      <rPr>
        <sz val="14"/>
        <rFont val="Garamond"/>
        <family val="1"/>
      </rPr>
      <t>(for desired precision)</t>
    </r>
  </si>
  <si>
    <r>
      <t xml:space="preserve">    Priori-T</t>
    </r>
    <r>
      <rPr>
        <vertAlign val="subscript"/>
        <sz val="14"/>
        <rFont val="Garamond"/>
        <family val="1"/>
      </rPr>
      <t xml:space="preserve">2 </t>
    </r>
    <r>
      <rPr>
        <sz val="14"/>
        <rFont val="Garamond"/>
        <family val="1"/>
      </rPr>
      <t>(for desired precision)</t>
    </r>
  </si>
  <si>
    <t>M (Multiplier)</t>
  </si>
  <si>
    <t>Priori-M (Multiplier)</t>
    <phoneticPr fontId="0" type="noConversion"/>
  </si>
  <si>
    <t>Quasi-experimental Designs</t>
  </si>
  <si>
    <t>Statistical power (1-probability of a Type II error)</t>
  </si>
  <si>
    <t>MDES</t>
  </si>
  <si>
    <r>
      <t>Power (1-</t>
    </r>
    <r>
      <rPr>
        <sz val="14"/>
        <rFont val="Calibri"/>
        <family val="2"/>
      </rPr>
      <t>β)</t>
    </r>
  </si>
  <si>
    <t>Power (1-β)</t>
  </si>
  <si>
    <t>IRA</t>
  </si>
  <si>
    <t>Minimum Relevant Effect Size = Minimum Detectable Effect Size</t>
  </si>
  <si>
    <t>Unit of Treatment Assignment</t>
  </si>
  <si>
    <t>individual</t>
  </si>
  <si>
    <t>cluster</t>
  </si>
  <si>
    <t>simple</t>
  </si>
  <si>
    <t>blocked</t>
  </si>
  <si>
    <t>Treatment Assignment Level</t>
  </si>
  <si>
    <t>N/A</t>
  </si>
  <si>
    <t>N_IRA</t>
  </si>
  <si>
    <t>N_ITS</t>
  </si>
  <si>
    <t>Priori-M (Multiplier)</t>
  </si>
  <si>
    <t>N (Sample Size)</t>
  </si>
  <si>
    <t>The number of individuals needed for the given MDES.</t>
  </si>
  <si>
    <t>Computed from Priori-T1 and Priori-T2</t>
  </si>
  <si>
    <t>Priori- N (Total Sample Size)</t>
  </si>
  <si>
    <t>Alpha Level (α)</t>
  </si>
  <si>
    <t>L (Sample Size  [# of Level 4 units])</t>
  </si>
  <si>
    <t>Prior-J (Sample Size  [# of Blocks])</t>
  </si>
  <si>
    <t>The number of blocks needed for the given MDES.</t>
  </si>
  <si>
    <r>
      <t>R</t>
    </r>
    <r>
      <rPr>
        <vertAlign val="subscript"/>
        <sz val="14"/>
        <rFont val="Garamond"/>
        <family val="1"/>
      </rPr>
      <t>2T</t>
    </r>
    <r>
      <rPr>
        <vertAlign val="superscript"/>
        <sz val="14"/>
        <rFont val="Garamond"/>
        <family val="1"/>
      </rPr>
      <t>2</t>
    </r>
  </si>
  <si>
    <r>
      <t>R</t>
    </r>
    <r>
      <rPr>
        <vertAlign val="subscript"/>
        <sz val="14"/>
        <rFont val="Garamond"/>
        <family val="1"/>
      </rPr>
      <t>3T</t>
    </r>
    <r>
      <rPr>
        <vertAlign val="superscript"/>
        <sz val="14"/>
        <rFont val="Garamond"/>
        <family val="1"/>
      </rPr>
      <t>2</t>
    </r>
  </si>
  <si>
    <r>
      <t>R</t>
    </r>
    <r>
      <rPr>
        <vertAlign val="subscript"/>
        <sz val="14"/>
        <rFont val="Garamond"/>
        <family val="1"/>
      </rPr>
      <t>4T</t>
    </r>
    <r>
      <rPr>
        <vertAlign val="superscript"/>
        <sz val="14"/>
        <rFont val="Garamond"/>
        <family val="1"/>
      </rPr>
      <t>2</t>
    </r>
  </si>
  <si>
    <t>Prior-K (Sample Size  [# of Blocks])</t>
  </si>
  <si>
    <t>K (Sample Size  [# of Blocks])</t>
  </si>
  <si>
    <t>Prior-L (Sample Size  [# of Blocks])</t>
  </si>
  <si>
    <t>L (Sample Size  [# of Blocks])</t>
  </si>
  <si>
    <t>Prior-J (Sample Size  [# of Blocks])</t>
    <phoneticPr fontId="9" type="noConversion"/>
  </si>
  <si>
    <t>The number of Level 2 units in the sample</t>
    <phoneticPr fontId="9" type="noConversion"/>
  </si>
  <si>
    <t>J (Sample Size  [# of Blocks])</t>
    <phoneticPr fontId="9" type="noConversion"/>
  </si>
  <si>
    <t>Prior-K (Sample Size  [# of Blocks])</t>
    <phoneticPr fontId="9" type="noConversion"/>
  </si>
  <si>
    <t>K (Sample Size  [# of Blocks])</t>
    <phoneticPr fontId="9" type="noConversion"/>
  </si>
  <si>
    <t>The number of Level 3 units in the sample</t>
    <phoneticPr fontId="9" type="noConversion"/>
  </si>
  <si>
    <t>J (Sample Size  [# of Clusters])</t>
    <phoneticPr fontId="9" type="noConversion"/>
  </si>
  <si>
    <t>Prior-J (Sample Size  [# of Clusters])</t>
    <phoneticPr fontId="9" type="noConversion"/>
  </si>
  <si>
    <t>The number of Level 3 units in the sample</t>
    <phoneticPr fontId="9" type="noConversion"/>
  </si>
  <si>
    <t>The number of Level 2 units in the sample</t>
    <phoneticPr fontId="9" type="noConversion"/>
  </si>
  <si>
    <t>Prior-K (Sample Size  [# of Clusters])</t>
    <phoneticPr fontId="9" type="noConversion"/>
  </si>
  <si>
    <t>K (Sample Size  [# of Clusters])</t>
    <phoneticPr fontId="9" type="noConversion"/>
  </si>
  <si>
    <t>The number of Level 3 units in the sample</t>
    <phoneticPr fontId="9" type="noConversion"/>
  </si>
  <si>
    <t xml:space="preserve">Computed from T1 and T2. </t>
    <phoneticPr fontId="9" type="noConversion"/>
  </si>
  <si>
    <t>Prior-m (Sample Size  [# of Program Schools])</t>
    <phoneticPr fontId="9" type="noConversion"/>
  </si>
  <si>
    <t>m (Sample Size [# of program schools])</t>
    <phoneticPr fontId="9" type="noConversion"/>
  </si>
  <si>
    <t>Note: The parameters in yellow cells need to be specified. Then click "RUN" to calculate sample size</t>
  </si>
  <si>
    <t>Choose to Calculate MDES or Sample Size</t>
  </si>
  <si>
    <t>7</t>
  </si>
  <si>
    <t>Worksheet Name for:</t>
  </si>
  <si>
    <t>Model Number</t>
  </si>
  <si>
    <t>Simple or Blocked (Stratified) Assignment</t>
  </si>
  <si>
    <t>Levels of Clustering</t>
  </si>
  <si>
    <t>MDES Calculation</t>
  </si>
  <si>
    <t>Sample Size Calculation</t>
  </si>
  <si>
    <t>Experimental Designs</t>
  </si>
  <si>
    <t>1.  Simple Individual Random Assignment (IRA)</t>
  </si>
  <si>
    <t>2.  Blocked (Stratified) Individual Random Assignment (BIRA)</t>
  </si>
  <si>
    <t>BCRA3_2f</t>
  </si>
  <si>
    <t>N_BCRA3_2f</t>
  </si>
  <si>
    <t>BCRA3_2r</t>
  </si>
  <si>
    <t>BCRA4_2r</t>
  </si>
  <si>
    <t>N_BCRA4_2r</t>
  </si>
  <si>
    <t>BCRA4_3f</t>
  </si>
  <si>
    <t>N_BCRA4_3f</t>
  </si>
  <si>
    <t>BCRA4_3r</t>
  </si>
  <si>
    <t>N_BCRA4_3r</t>
  </si>
  <si>
    <t>5. Regression Discontinuity Designs (RD)</t>
  </si>
  <si>
    <t>6. Interrupted Time-Series Designs (ITS)</t>
  </si>
  <si>
    <t>constant at level 3; random at level 2</t>
  </si>
  <si>
    <r>
      <t xml:space="preserve">Cluster Random Assignment Designs (Level of Assignment </t>
    </r>
    <r>
      <rPr>
        <i/>
        <sz val="12"/>
        <color theme="1"/>
        <rFont val="宋体"/>
        <family val="3"/>
        <charset val="134"/>
      </rPr>
      <t>≠</t>
    </r>
    <r>
      <rPr>
        <i/>
        <sz val="10.8"/>
        <color theme="1"/>
        <rFont val="Times New Roman"/>
        <family val="1"/>
      </rPr>
      <t xml:space="preserve"> Level of Analysis)</t>
    </r>
    <phoneticPr fontId="9" type="noConversion"/>
  </si>
  <si>
    <t>Individual Random Assignment Designs (Level of Assignment = Level of Analysis)</t>
    <phoneticPr fontId="9" type="noConversion"/>
  </si>
  <si>
    <t>RD2_1f</t>
    <phoneticPr fontId="28" type="noConversion"/>
  </si>
  <si>
    <t>N_RD2_1f</t>
    <phoneticPr fontId="28" type="noConversion"/>
  </si>
  <si>
    <t>RD2_1r</t>
    <phoneticPr fontId="28" type="noConversion"/>
  </si>
  <si>
    <t>N_RD2_1r</t>
    <phoneticPr fontId="28" type="noConversion"/>
  </si>
  <si>
    <t>N_BCRA3_2r</t>
    <phoneticPr fontId="9" type="noConversion"/>
  </si>
  <si>
    <t>N_BIRA4_1r</t>
    <phoneticPr fontId="28" type="noConversion"/>
  </si>
  <si>
    <t>BIRA4_1r</t>
    <phoneticPr fontId="28" type="noConversion"/>
  </si>
  <si>
    <t>N_BIRA3_1r</t>
    <phoneticPr fontId="28" type="noConversion"/>
  </si>
  <si>
    <t>BIRA3_1r</t>
    <phoneticPr fontId="28" type="noConversion"/>
  </si>
  <si>
    <t>N_BIRA2_1r</t>
    <phoneticPr fontId="28" type="noConversion"/>
  </si>
  <si>
    <t>BIRA2_1r</t>
    <phoneticPr fontId="28" type="noConversion"/>
  </si>
  <si>
    <t>N_BIRA2_1f</t>
    <phoneticPr fontId="28" type="noConversion"/>
  </si>
  <si>
    <t>BIRA2_1f</t>
    <phoneticPr fontId="28" type="noConversion"/>
  </si>
  <si>
    <t>N_BIRA2_1c</t>
    <phoneticPr fontId="28" type="noConversion"/>
  </si>
  <si>
    <t>BIRA2_1c</t>
    <phoneticPr fontId="28" type="noConversion"/>
  </si>
  <si>
    <t>3. Simple Cluster Random Assignment (CRA)</t>
    <phoneticPr fontId="9" type="noConversion"/>
  </si>
  <si>
    <t>4.  Blocked (Stratified) Cluster Randomized Assignment Designs (BCRA)</t>
    <phoneticPr fontId="9" type="noConversion"/>
  </si>
  <si>
    <t>RD3_2f</t>
  </si>
  <si>
    <t>RD3_2r</t>
  </si>
  <si>
    <t>N_RD3_2f</t>
  </si>
  <si>
    <t>N_RD3_2r</t>
  </si>
  <si>
    <t>Bloom, H. S. (1999). Estimating program impacts on student achievement using “short” interrupted time series. New York, NY: MDRC.</t>
  </si>
  <si>
    <t>Bloom, H. S. (2006). The core analytics of randomized experiments for social research. MDRC Working Papers on Research Methodology. Available online at: http://www.mdrc.org/publications/437/full.pdf</t>
  </si>
  <si>
    <t>Bloom, H. S. (2009). Modern regression discontinuity analysis, MDRC: New York. http://www.mdrc.org/publications/539/abstract.html</t>
  </si>
  <si>
    <t>Hedges, L. V. &amp; Rhoads, C. (2010). Statistical power analysis in education research (NCSER 2010-3006). Washington, DC: National Center for Special Education Research, Institute of Education Sciences, U.S. Department of Education. This report is available on the IES website at http://ies.ed.gov/ncser/.</t>
  </si>
  <si>
    <t>Konstantopoulos, S. (2009). Using power tables to compute statistical power in multilevel experimental designs. Practical Assessment, Research &amp; Evaluation, 14(10). Available online: http://pareonline.net/getvn.asp?v=14&amp;n=10.</t>
  </si>
  <si>
    <t>Bloom, H. S. (1995). Minimum detectable effects: A simple way to report the statistical power of experimental designs. Evaluation Review, 19 (5), 547-556</t>
  </si>
  <si>
    <t xml:space="preserve">Bloom, H. S. (2003). Using short interrupted time-series analysis to measure the impacts of whole school reforms: With applications to a study of accelerated schools. Evaluation Review, 27(1): 3 – 49. </t>
  </si>
  <si>
    <t>Bloom, H. S. (2005). Randomizing groups to evaluate place-based programs. In Howard S. Bloom (editor), Learning more from social experiments: Evolving analytic approaches, New York: Russell Sage Foundation.</t>
  </si>
  <si>
    <t>Bloom, H. S., Hill, C. J., Black, A. R. &amp; Lipsey, M. W. (2008). Performance trajectories and performance gaps as achievement effect-size benchmarks for educational interventions. Journal of Research on Educational Effectiveness, 1, pp. 289 – 328.</t>
  </si>
  <si>
    <t>Hedges, L. V., &amp; Hedberg, E. (2007). Interclass correlation values for planning group-randomized trials in education. Educational Evaluation and Policy Analysis, 29(1): 60–87.</t>
  </si>
  <si>
    <t xml:space="preserve">Imbens, G. &amp; Lemieux, T. (2008). Regression discontinuity designs: A guide to practice. Journal of Econometrics, 142 (2), 615-635. </t>
  </si>
  <si>
    <t>Konstantopoulos, S. (2008a). The power of the test for treatment effects in three-level cluster randomized designs. Journal of Research on Educational Effectiveness, 1, 66-88.</t>
  </si>
  <si>
    <t>Murray, D. (1998). Design and analysis of group-randomized trials. Oxford: Oxford University Press.</t>
  </si>
  <si>
    <t>Orr, L. (1998). Social experiments evaluating public programs with experimental methods. Sage Publications: London.</t>
  </si>
  <si>
    <t>Quint, J. C., Sepanik, S., &amp; Smith, J. K. (2008).  Using student data to improve teaching and learning:  Findings from an evaluation of the Formative Assessment of Student Thinking in Reading (FAST-R) program in Boston elementary schools.  New York:  Manpower Demonstration Research Corporation.</t>
  </si>
  <si>
    <t>Quint, J. C., Bloom, H. S., Rebeck Black, A. &amp; Stephens, L., with Akey, T.M. (2005). The challenge of scaling up educational reform: findings and lessons from First Things First.  New York: Manpower Development Research Corporation.</t>
  </si>
  <si>
    <t>Raudenbush, S. W. (1997). Statistical analysis and optimal design for cluster randomized trials. Psychological Methods, 2(2), 173-185.</t>
  </si>
  <si>
    <t>Raudenbush, S. W. &amp; Liu, X. (2000). Statistical power and optimal design for multisite randomized trials. Psychological Methods, 5(2), 199-213.</t>
  </si>
  <si>
    <t>Spybrook, J. (2007). Examining the experimental designs and statistical power of group randomized trials funded by the Institute of Education Sciences. Dissertation.</t>
  </si>
  <si>
    <t xml:space="preserve">Spybrook, J., Raudenbush, S.W., Congdon, R. &amp; Martinez, A. (2009). Optimal design version 2.0. </t>
  </si>
  <si>
    <t xml:space="preserve">Schochet, P. Z. (2008a). Statistical power for randomized assignment evaluation of education programs. Journal of Educational and Behavioral Statistics. 33 (1), 62-87. </t>
  </si>
  <si>
    <t>Schochet, P. Z. (2008b). Technical methods report: Statistical power for regression discontinuity designs in education evaluations (NCEE 2008-4026). Washington, DC: National Center for Education Evaluation and Regional Assistance, Institute of Education Sciences, U.S.</t>
  </si>
  <si>
    <t>Schochet, P., Cook, T., Deke, J., Imbens, G., Lockwood, J.R., Porter, J., Smith, J. (2010). Standards for regression discontinuity designs. Retrieved from What Works Clearinghouse website: http://ies.ed.gov/ncee/wwc/pdf/wwc_rd.pdf.</t>
  </si>
  <si>
    <t>CRA2_2r</t>
  </si>
  <si>
    <t>CRA3_3r</t>
  </si>
  <si>
    <t>CRA4_4r</t>
  </si>
  <si>
    <t>N_CRA2_2r</t>
  </si>
  <si>
    <t>N_CRA3_3r</t>
  </si>
  <si>
    <t>N_CRA4_4r</t>
  </si>
  <si>
    <t>RDC_2r</t>
  </si>
  <si>
    <t>RDC_3r</t>
  </si>
  <si>
    <t>N_RDC_2r</t>
  </si>
  <si>
    <t>N_RDC_3r</t>
  </si>
  <si>
    <t xml:space="preserve">P </t>
  </si>
  <si>
    <t>k*</t>
  </si>
  <si>
    <t>n (Total Sample Size)</t>
  </si>
  <si>
    <t>Minimum Detectable Effect Size</t>
  </si>
  <si>
    <t>Number of covariates used</t>
  </si>
  <si>
    <t>Determined from alpha level, given two-tailed or one-tailed test</t>
  </si>
  <si>
    <t>Determined from given power level</t>
  </si>
  <si>
    <r>
      <t>Proportion of Level 1 units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</si>
  <si>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t>Number of Level 2 units in the sample</t>
  </si>
  <si>
    <t xml:space="preserve">Treatment effect heterogeneity:  variability in treatment effects across Level 2 units, standardized by the variability in the Level-2 outcome  </t>
  </si>
  <si>
    <t>Number of Level 1 covariates</t>
  </si>
  <si>
    <r>
      <t xml:space="preserve">    T</t>
    </r>
    <r>
      <rPr>
        <vertAlign val="subscript"/>
        <sz val="14"/>
        <rFont val="Garamond"/>
        <family val="1"/>
      </rPr>
      <t xml:space="preserve">1 </t>
    </r>
    <r>
      <rPr>
        <sz val="14"/>
        <rFont val="Garamond"/>
        <family val="1"/>
      </rPr>
      <t>(Precision)</t>
    </r>
  </si>
  <si>
    <r>
      <t xml:space="preserve">    T</t>
    </r>
    <r>
      <rPr>
        <vertAlign val="subscript"/>
        <sz val="14"/>
        <rFont val="Garamond"/>
        <family val="1"/>
      </rPr>
      <t xml:space="preserve">2 </t>
    </r>
    <r>
      <rPr>
        <sz val="14"/>
        <rFont val="Garamond"/>
        <family val="1"/>
      </rPr>
      <t>(Power)</t>
    </r>
  </si>
  <si>
    <t xml:space="preserve">Number of Level 4 covariates </t>
  </si>
  <si>
    <t>Number of Level 4 units in the sample</t>
  </si>
  <si>
    <t>Number of Level 4 units</t>
  </si>
  <si>
    <t xml:space="preserve">Number of Level 2 covariates  </t>
  </si>
  <si>
    <t xml:space="preserve">Number of Level 2 units </t>
  </si>
  <si>
    <t xml:space="preserve">Number of Level 3 units </t>
  </si>
  <si>
    <t xml:space="preserve">Proportion of Level-3 units randomized to treatment </t>
  </si>
  <si>
    <t>Level 3 treatment effect heterogeneity:  variance in treatment effect across Level 3 units, standardized by the Level-3 outcome variation</t>
  </si>
  <si>
    <t>Level 2 treatment effect heterogeneity:  variance in treatment effect across Level 2 units, standardized by the Level-2 outcome variation</t>
  </si>
  <si>
    <r>
      <t>Proportion of Level 1 units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</si>
  <si>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t xml:space="preserve">Number of Level 3 covariates </t>
  </si>
  <si>
    <t>Level 4 treatment effect heterogeneity:   variance in treatment effect across Level 4 units, standardized by the Level-4 outcome variation</t>
  </si>
  <si>
    <t xml:space="preserve">Number of Level 4 units </t>
  </si>
  <si>
    <t>Number of Level 3 units</t>
  </si>
  <si>
    <t xml:space="preserve">Number of Level 2 covariates </t>
  </si>
  <si>
    <t>Level 3treatment effect heterogeneity:  variance in treatment effect across Level 3 units, standardized by the Level 3 outcome variation</t>
  </si>
  <si>
    <t>Level 4 treatment effect heterogeneity:  variance in treatment effect across Level 4 units, standardized by the Level 4 outcome variation</t>
  </si>
  <si>
    <r>
      <t>Proportion of level 2 units randomized to treatment: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</si>
  <si>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Number of Level 4 covariates</t>
  </si>
  <si>
    <r>
      <t>Proportion of level 3 units randomized to treatment:  K</t>
    </r>
    <r>
      <rPr>
        <vertAlign val="subscript"/>
        <sz val="14"/>
        <rFont val="Garamond"/>
        <family val="1"/>
      </rPr>
      <t>T</t>
    </r>
    <r>
      <rPr>
        <sz val="14"/>
        <rFont val="Garamond"/>
        <family val="1"/>
      </rPr>
      <t xml:space="preserve"> / (K</t>
    </r>
    <r>
      <rPr>
        <vertAlign val="subscript"/>
        <sz val="14"/>
        <rFont val="Garamond"/>
        <family val="1"/>
      </rPr>
      <t>T</t>
    </r>
    <r>
      <rPr>
        <sz val="14"/>
        <rFont val="Garamond"/>
        <family val="1"/>
      </rPr>
      <t xml:space="preserve"> + K</t>
    </r>
    <r>
      <rPr>
        <vertAlign val="subscript"/>
        <sz val="14"/>
        <rFont val="Garamond"/>
        <family val="1"/>
      </rPr>
      <t>C</t>
    </r>
    <r>
      <rPr>
        <sz val="14"/>
        <rFont val="Garamond"/>
        <family val="1"/>
      </rPr>
      <t>)</t>
    </r>
  </si>
  <si>
    <t>Number of Level 3 covariates</t>
  </si>
  <si>
    <t>Treatment effect heterogeneity:  variance in treatment across Level 4 units, standardized by the Level-4 outcome variation:</t>
  </si>
  <si>
    <t>Proportion of variance in the Level 3 outcome explained by the Level 3 covariates</t>
  </si>
  <si>
    <r>
      <t>Proportion of level 2 units randomized to treatment: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</si>
  <si>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Number of Level 3 units in the sample</t>
  </si>
  <si>
    <t xml:space="preserve">Treatment effect heterogeneity or variance in treatment effect across Level 2 units, standardized by the Level-2 outcome variation:  </t>
  </si>
  <si>
    <t>MDES (with comparison units)</t>
  </si>
  <si>
    <t>Rho (ICC)</t>
  </si>
  <si>
    <t>P</t>
  </si>
  <si>
    <t>g*</t>
  </si>
  <si>
    <t>J (Sample Size  [Clusters #])</t>
  </si>
  <si>
    <t xml:space="preserve">Number of Level 1 covariates </t>
  </si>
  <si>
    <r>
      <t>Proportion of Level 1 units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 xml:space="preserve">) </t>
    </r>
  </si>
  <si>
    <t>Statistical power (1-probability of Type II error)</t>
  </si>
  <si>
    <t>Number of covariates</t>
  </si>
  <si>
    <t xml:space="preserve">Treatment effect heterogeneity:  variance in the treatment effect across Level 3 units, standardized by the Level-3 outcome variation: </t>
  </si>
  <si>
    <r>
      <t>Proportion of the sample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</si>
  <si>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r>
      <t>Proportion of Level 2 units randomized to treatment: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</si>
  <si>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 xml:space="preserve">Proportion of between block variance in treatment effect explained by Level-3 covariates </t>
  </si>
  <si>
    <r>
      <t>R</t>
    </r>
    <r>
      <rPr>
        <vertAlign val="subscript"/>
        <sz val="14"/>
        <rFont val="Garamond"/>
        <family val="1"/>
      </rPr>
      <t>T3</t>
    </r>
    <r>
      <rPr>
        <vertAlign val="superscript"/>
        <sz val="14"/>
        <rFont val="Garamond"/>
        <family val="1"/>
      </rPr>
      <t>2</t>
    </r>
  </si>
  <si>
    <t xml:space="preserve">Proportion of variance in impacts on outcomes between Level-4 blocks explained by Level-4 covariates </t>
  </si>
  <si>
    <t xml:space="preserve">Proportion of between block variance in impacts on outcome between Level-3 blocks explained by Level-3 covariates </t>
  </si>
  <si>
    <r>
      <t>Proportion of individuals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</si>
  <si>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t>Bloom, H. S., Richburg- Hayes, L. &amp; Black, A. R. (2007).  Using Covariates to Improve Precision for Studies that Randomize Schools to Evaluate Educational Interventions.  Educational Evaluation and Policy Analysis, 29(1), pp. 30–59.</t>
  </si>
  <si>
    <t xml:space="preserve">Deke, John, Dragoset, Lisa, and Moore, Ravaris (2010). Precision Gains from Publically Available School Proficiency Measures Compared to Study-Collected Test Scores in Education Cluster-Randomized Trials (NCEE 2010-4003). Washington, DC: National Center for Education Evaluation and Regional Assistance, Institute of Education Sciences, U.S. Department of Education.  http://ies.ed.gov/ncee/pubs/20104003/  </t>
  </si>
  <si>
    <t>Computed from given power level</t>
  </si>
  <si>
    <t xml:space="preserve">Percent of variance in the outcome explained by covariates at Level 2 (cohort) </t>
  </si>
  <si>
    <t>Year in which the outcomes are to be compared (i.e., "0" would indicate the year that treatment occurs; "1" would indicate the first year following the treatment)</t>
  </si>
  <si>
    <t>Number of Level 2 (cohort-level) covariates</t>
  </si>
  <si>
    <t>Computed from given alpha Level, two-tailed or one-tailed test. df=m*T-g-1</t>
  </si>
  <si>
    <t>Computed from given power Level. df=df=m*T-g-1</t>
  </si>
  <si>
    <r>
      <t xml:space="preserve">Model 2.5:  MDES Calculator for 4-Level </t>
    </r>
    <r>
      <rPr>
        <b/>
        <u/>
        <sz val="14"/>
        <color theme="1"/>
        <rFont val="Garamond"/>
        <family val="1"/>
      </rPr>
      <t>Random</t>
    </r>
    <r>
      <rPr>
        <b/>
        <sz val="14"/>
        <color theme="1"/>
        <rFont val="Garamond"/>
        <family val="1"/>
      </rPr>
      <t xml:space="preserve"> Effects </t>
    </r>
    <r>
      <rPr>
        <b/>
        <u/>
        <sz val="14"/>
        <color theme="1"/>
        <rFont val="Garamond"/>
        <family val="1"/>
      </rPr>
      <t>Blocked</t>
    </r>
    <r>
      <rPr>
        <b/>
        <sz val="14"/>
        <color theme="1"/>
        <rFont val="Garamond"/>
        <family val="1"/>
      </rPr>
      <t xml:space="preserve"> Individual Random Assignment Design (BIRA4_1r)</t>
    </r>
    <r>
      <rPr>
        <b/>
        <sz val="14"/>
        <color theme="1"/>
        <rFont val="Calibri"/>
        <family val="2"/>
      </rPr>
      <t>—</t>
    </r>
    <r>
      <rPr>
        <b/>
        <sz val="14"/>
        <color theme="1"/>
        <rFont val="Garamond"/>
        <family val="1"/>
      </rPr>
      <t>Individuals Randomized within Blocks</t>
    </r>
  </si>
  <si>
    <r>
      <t>Model 5.3:  MDES Calculator for Two-Level Regression Discontinuity Designs (RDC_2r )</t>
    </r>
    <r>
      <rPr>
        <b/>
        <sz val="14"/>
        <rFont val="Calibri"/>
        <family val="2"/>
      </rPr>
      <t>—</t>
    </r>
    <r>
      <rPr>
        <b/>
        <sz val="10.5"/>
        <rFont val="Garamond"/>
        <family val="1"/>
      </rPr>
      <t xml:space="preserve"> D</t>
    </r>
    <r>
      <rPr>
        <b/>
        <sz val="14"/>
        <rFont val="Garamond"/>
        <family val="1"/>
      </rPr>
      <t>esign Effect Compared with  Model 3.1 (CRA2_2r)</t>
    </r>
  </si>
  <si>
    <t>Model 6.0:  MDES Calculator for 3-Level HLM Interrupted Time-Series Design (ITS): Studies with Random Cohort Effects and Constant Level-3 Effects</t>
  </si>
  <si>
    <t xml:space="preserve">Number of Level 1 covariates  </t>
  </si>
  <si>
    <r>
      <t>Proportion of Level 1 units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</si>
  <si>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r>
      <t>Model 2.3:  Sample Size Calculator for 2-Level Random Effects Blocked Individual Random Assignment Studies (BIRA2_1r)</t>
    </r>
    <r>
      <rPr>
        <b/>
        <sz val="14"/>
        <rFont val="Calibri"/>
        <family val="2"/>
      </rPr>
      <t>—</t>
    </r>
    <r>
      <rPr>
        <b/>
        <sz val="14"/>
        <rFont val="Garamond"/>
        <family val="1"/>
      </rPr>
      <t xml:space="preserve"> Individuals Randomized within Blocks</t>
    </r>
  </si>
  <si>
    <t xml:space="preserve">Treatment effect heterogeneity:  variability in treatment effect across Level 2 units, standardized by variability in the Level-2 outcome: </t>
  </si>
  <si>
    <t>Number of Level 1 units per Level 2 unit (harmonic mean recommended)</t>
  </si>
  <si>
    <r>
      <t>Proportion of  sample  randomized to treatment: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</si>
  <si>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Sample Retention Rate:  Level 2 units</t>
  </si>
  <si>
    <t>Sample Retention Rate:  Level 1 units</t>
  </si>
  <si>
    <r>
      <t>Model 3.2:  Sample Size Calculator for 3-Level Cluster Random Assignment Designs (CRA3_3r)</t>
    </r>
    <r>
      <rPr>
        <b/>
        <sz val="14"/>
        <rFont val="Calibri"/>
        <family val="2"/>
      </rPr>
      <t>—</t>
    </r>
    <r>
      <rPr>
        <b/>
        <sz val="14"/>
        <rFont val="Garamond"/>
        <family val="1"/>
      </rPr>
      <t xml:space="preserve"> Treatment at Level 3</t>
    </r>
  </si>
  <si>
    <t>Statistical power:  (1 - probability of Type II error)</t>
  </si>
  <si>
    <t>Proportion of Level 4 units randomized to treatment</t>
  </si>
  <si>
    <t xml:space="preserve">The number of Level 4 covariates </t>
  </si>
  <si>
    <r>
      <t>Proportion of Level 2 units randomized to treatment: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</si>
  <si>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Number of covariates used for Level 4</t>
  </si>
  <si>
    <r>
      <t>Model 4.4:   Sample Size Calculator 4-Level Fixed Effects Blocked Cluster Random Assignment DesignBCRA4_3f)</t>
    </r>
    <r>
      <rPr>
        <b/>
        <sz val="14"/>
        <rFont val="Calibri"/>
        <family val="2"/>
      </rPr>
      <t>—</t>
    </r>
    <r>
      <rPr>
        <b/>
        <sz val="14"/>
        <rFont val="Garamond"/>
        <family val="1"/>
      </rPr>
      <t>Treatment at Level 3</t>
    </r>
  </si>
  <si>
    <r>
      <t>Model 4.5:  Sample Size Calculator for 4-Level Random Effects Blocked Cluster Random Assignment Design (BCRA4_3r)</t>
    </r>
    <r>
      <rPr>
        <b/>
        <sz val="14"/>
        <rFont val="Calibri"/>
        <family val="2"/>
      </rPr>
      <t>—</t>
    </r>
    <r>
      <rPr>
        <b/>
        <sz val="14"/>
        <rFont val="Garamond"/>
        <family val="1"/>
      </rPr>
      <t>Treatment atLevel 3</t>
    </r>
  </si>
  <si>
    <r>
      <t>Proportion of level 3 units that is randomized to treatment. i.e., K</t>
    </r>
    <r>
      <rPr>
        <vertAlign val="subscript"/>
        <sz val="14"/>
        <rFont val="Garamond"/>
        <family val="1"/>
      </rPr>
      <t>T</t>
    </r>
    <r>
      <rPr>
        <sz val="14"/>
        <rFont val="Garamond"/>
        <family val="1"/>
      </rPr>
      <t xml:space="preserve"> / (K</t>
    </r>
    <r>
      <rPr>
        <vertAlign val="subscript"/>
        <sz val="14"/>
        <rFont val="Garamond"/>
        <family val="1"/>
      </rPr>
      <t>T</t>
    </r>
    <r>
      <rPr>
        <sz val="14"/>
        <rFont val="Garamond"/>
        <family val="1"/>
      </rPr>
      <t xml:space="preserve"> + K</t>
    </r>
    <r>
      <rPr>
        <vertAlign val="subscript"/>
        <sz val="14"/>
        <rFont val="Garamond"/>
        <family val="1"/>
      </rPr>
      <t>C</t>
    </r>
    <r>
      <rPr>
        <sz val="14"/>
        <rFont val="Garamond"/>
        <family val="1"/>
      </rPr>
      <t>)</t>
    </r>
  </si>
  <si>
    <t xml:space="preserve">Proportion of Level 2 units randomized to treatment </t>
  </si>
  <si>
    <r>
      <t>Model 5.4:  Sample Size Calculator for 3-Level Regression Discontinuity Design Studies with Random Effects (RDC_3r)</t>
    </r>
    <r>
      <rPr>
        <b/>
        <sz val="14"/>
        <rFont val="Calibri"/>
        <family val="2"/>
      </rPr>
      <t>—</t>
    </r>
    <r>
      <rPr>
        <b/>
        <sz val="14"/>
        <rFont val="Garamond"/>
        <family val="1"/>
      </rPr>
      <t>Design Effect Cmpared with Model 3.2 (CRA3_3r)</t>
    </r>
  </si>
  <si>
    <t xml:space="preserve">Proportion of Level 3units randomized to treatment </t>
  </si>
  <si>
    <t>Correlation between TREATMENT and the score used for treatment assignment</t>
  </si>
  <si>
    <r>
      <t>Model 5.5:  Sample Size Calculator for 3-Level Fixed Effects Regression Discontinuity Design Studies (RD3_2f )</t>
    </r>
    <r>
      <rPr>
        <b/>
        <sz val="14"/>
        <rFont val="Calibri"/>
        <family val="2"/>
      </rPr>
      <t>—</t>
    </r>
    <r>
      <rPr>
        <b/>
        <sz val="14"/>
        <rFont val="Garamond"/>
        <family val="1"/>
      </rPr>
      <t>Design Effect Compared with Model BCRA3_2f</t>
    </r>
  </si>
  <si>
    <r>
      <t>Proportion of level 2 units  randomized to treatment. i.e., J</t>
    </r>
    <r>
      <rPr>
        <vertAlign val="subscript"/>
        <sz val="14"/>
        <rFont val="Garamond"/>
        <family val="1"/>
      </rPr>
      <t>T</t>
    </r>
    <r>
      <rPr>
        <sz val="14"/>
        <rFont val="Garamond"/>
        <family val="1"/>
      </rPr>
      <t xml:space="preserve"> / (J</t>
    </r>
    <r>
      <rPr>
        <vertAlign val="subscript"/>
        <sz val="14"/>
        <rFont val="Garamond"/>
        <family val="1"/>
      </rPr>
      <t>T</t>
    </r>
    <r>
      <rPr>
        <sz val="14"/>
        <rFont val="Garamond"/>
        <family val="1"/>
      </rPr>
      <t xml:space="preserve"> + J</t>
    </r>
    <r>
      <rPr>
        <vertAlign val="subscript"/>
        <sz val="14"/>
        <rFont val="Garamond"/>
        <family val="1"/>
      </rPr>
      <t>C</t>
    </r>
    <r>
      <rPr>
        <sz val="14"/>
        <rFont val="Garamond"/>
        <family val="1"/>
      </rPr>
      <t>)</t>
    </r>
  </si>
  <si>
    <t>Correlation between TREATMENT and score used for treatment assignment</t>
  </si>
  <si>
    <r>
      <t>Model 5.6:  Sample Size Calculator for 3-Level Random Effects Regression Discontinuity Design Studies (RD3_2r)</t>
    </r>
    <r>
      <rPr>
        <b/>
        <sz val="14"/>
        <rFont val="Calibri"/>
        <family val="2"/>
      </rPr>
      <t>—</t>
    </r>
    <r>
      <rPr>
        <b/>
        <sz val="14"/>
        <rFont val="Garamond"/>
        <family val="1"/>
      </rPr>
      <t>Design Effect Compared with Model 4.2 (BCRA3_2r)</t>
    </r>
  </si>
  <si>
    <t xml:space="preserve">Treatment effect heterogeneity:  variance in treatment effect across Level 3 units, standardizeed by the Level 3 outcome variation: </t>
  </si>
  <si>
    <t>Proportion of variance in Level 2 outcome explained by Level 2 covariates</t>
  </si>
  <si>
    <t xml:space="preserve">Proportion of variance between blocks in the treatment effect explained by Level-3 covariates </t>
  </si>
  <si>
    <t xml:space="preserve">Percent of variance in outcome explained by Level 2 (cohort) covariates </t>
  </si>
  <si>
    <t xml:space="preserve">Year of outcome measure relative to intervention year (= 0) </t>
  </si>
  <si>
    <t xml:space="preserve">Number of Level 2 (cohort) covariates </t>
  </si>
  <si>
    <t xml:space="preserve">(# comparison blocks / # intervention blocks) </t>
  </si>
  <si>
    <t>T (number of baseline periods)</t>
  </si>
  <si>
    <t xml:space="preserve">Number of periods prior to intervention with data for establishing baseline trend </t>
  </si>
  <si>
    <r>
      <t>The formula for calculating the harmonic mean is: N/(1/a</t>
    </r>
    <r>
      <rPr>
        <vertAlign val="subscript"/>
        <sz val="14"/>
        <rFont val="Arial"/>
        <family val="2"/>
      </rPr>
      <t>1</t>
    </r>
    <r>
      <rPr>
        <sz val="14"/>
        <rFont val="Arial"/>
        <family val="2"/>
      </rPr>
      <t xml:space="preserve"> + 1/a</t>
    </r>
    <r>
      <rPr>
        <vertAlign val="subscript"/>
        <sz val="14"/>
        <rFont val="Arial"/>
        <family val="2"/>
      </rPr>
      <t>2</t>
    </r>
    <r>
      <rPr>
        <sz val="14"/>
        <rFont val="Arial"/>
        <family val="2"/>
      </rPr>
      <t xml:space="preserve"> +1/a</t>
    </r>
    <r>
      <rPr>
        <vertAlign val="subscript"/>
        <sz val="14"/>
        <rFont val="Arial"/>
        <family val="2"/>
      </rPr>
      <t>3</t>
    </r>
    <r>
      <rPr>
        <sz val="14"/>
        <rFont val="Arial"/>
        <family val="2"/>
      </rPr>
      <t xml:space="preserve"> + 1/a</t>
    </r>
    <r>
      <rPr>
        <vertAlign val="subscript"/>
        <sz val="14"/>
        <rFont val="Arial"/>
        <family val="2"/>
      </rPr>
      <t>4</t>
    </r>
    <r>
      <rPr>
        <sz val="14"/>
        <rFont val="Arial"/>
        <family val="2"/>
      </rPr>
      <t>…+ 1/a</t>
    </r>
    <r>
      <rPr>
        <vertAlign val="subscript"/>
        <sz val="14"/>
        <rFont val="Arial"/>
        <family val="2"/>
      </rPr>
      <t>N</t>
    </r>
    <r>
      <rPr>
        <sz val="14"/>
        <rFont val="Arial"/>
        <family val="2"/>
      </rPr>
      <t>)</t>
    </r>
  </si>
  <si>
    <r>
      <t>a</t>
    </r>
    <r>
      <rPr>
        <vertAlign val="subscript"/>
        <sz val="14"/>
        <rFont val="Arial"/>
        <family val="2"/>
      </rPr>
      <t>1</t>
    </r>
  </si>
  <si>
    <r>
      <t>a</t>
    </r>
    <r>
      <rPr>
        <vertAlign val="subscript"/>
        <sz val="14"/>
        <rFont val="Arial"/>
        <family val="2"/>
      </rPr>
      <t>2</t>
    </r>
    <r>
      <rPr>
        <sz val="11"/>
        <color indexed="8"/>
        <rFont val="宋体"/>
        <family val="3"/>
        <charset val="134"/>
      </rPr>
      <t/>
    </r>
  </si>
  <si>
    <r>
      <t>a</t>
    </r>
    <r>
      <rPr>
        <vertAlign val="subscript"/>
        <sz val="14"/>
        <rFont val="Arial"/>
        <family val="2"/>
      </rPr>
      <t>3</t>
    </r>
    <r>
      <rPr>
        <sz val="11"/>
        <color indexed="8"/>
        <rFont val="宋体"/>
        <family val="3"/>
        <charset val="134"/>
      </rPr>
      <t/>
    </r>
  </si>
  <si>
    <r>
      <t>a</t>
    </r>
    <r>
      <rPr>
        <vertAlign val="subscript"/>
        <sz val="14"/>
        <rFont val="Arial"/>
        <family val="2"/>
      </rPr>
      <t>4</t>
    </r>
    <r>
      <rPr>
        <sz val="11"/>
        <color indexed="8"/>
        <rFont val="宋体"/>
        <family val="3"/>
        <charset val="134"/>
      </rPr>
      <t/>
    </r>
  </si>
  <si>
    <r>
      <t>a</t>
    </r>
    <r>
      <rPr>
        <vertAlign val="subscript"/>
        <sz val="14"/>
        <rFont val="Arial"/>
        <family val="2"/>
      </rPr>
      <t>5</t>
    </r>
    <r>
      <rPr>
        <sz val="11"/>
        <color indexed="8"/>
        <rFont val="宋体"/>
        <family val="3"/>
        <charset val="134"/>
      </rPr>
      <t/>
    </r>
  </si>
  <si>
    <r>
      <t>a</t>
    </r>
    <r>
      <rPr>
        <vertAlign val="subscript"/>
        <sz val="14"/>
        <rFont val="Arial"/>
        <family val="2"/>
      </rPr>
      <t>6</t>
    </r>
    <r>
      <rPr>
        <sz val="11"/>
        <color indexed="8"/>
        <rFont val="宋体"/>
        <family val="3"/>
        <charset val="134"/>
      </rPr>
      <t/>
    </r>
  </si>
  <si>
    <r>
      <t>a</t>
    </r>
    <r>
      <rPr>
        <vertAlign val="subscript"/>
        <sz val="14"/>
        <rFont val="Arial"/>
        <family val="2"/>
      </rPr>
      <t>7</t>
    </r>
    <r>
      <rPr>
        <sz val="11"/>
        <color indexed="8"/>
        <rFont val="宋体"/>
        <family val="3"/>
        <charset val="134"/>
      </rPr>
      <t/>
    </r>
  </si>
  <si>
    <r>
      <t>a</t>
    </r>
    <r>
      <rPr>
        <vertAlign val="subscript"/>
        <sz val="14"/>
        <rFont val="Arial"/>
        <family val="2"/>
      </rPr>
      <t>8</t>
    </r>
    <r>
      <rPr>
        <sz val="11"/>
        <color indexed="8"/>
        <rFont val="宋体"/>
        <family val="3"/>
        <charset val="134"/>
      </rPr>
      <t/>
    </r>
  </si>
  <si>
    <r>
      <t>a</t>
    </r>
    <r>
      <rPr>
        <vertAlign val="subscript"/>
        <sz val="14"/>
        <rFont val="Arial"/>
        <family val="2"/>
      </rPr>
      <t>9</t>
    </r>
    <r>
      <rPr>
        <sz val="11"/>
        <color indexed="8"/>
        <rFont val="宋体"/>
        <family val="3"/>
        <charset val="134"/>
      </rPr>
      <t/>
    </r>
  </si>
  <si>
    <r>
      <t>a</t>
    </r>
    <r>
      <rPr>
        <vertAlign val="subscript"/>
        <sz val="14"/>
        <rFont val="Arial"/>
        <family val="2"/>
      </rPr>
      <t>10</t>
    </r>
    <r>
      <rPr>
        <sz val="11"/>
        <color indexed="8"/>
        <rFont val="宋体"/>
        <family val="3"/>
        <charset val="134"/>
      </rPr>
      <t/>
    </r>
  </si>
  <si>
    <r>
      <t>a</t>
    </r>
    <r>
      <rPr>
        <vertAlign val="subscript"/>
        <sz val="14"/>
        <rFont val="Arial"/>
        <family val="2"/>
      </rPr>
      <t>11</t>
    </r>
    <r>
      <rPr>
        <sz val="11"/>
        <color indexed="8"/>
        <rFont val="宋体"/>
        <family val="3"/>
        <charset val="134"/>
      </rPr>
      <t/>
    </r>
  </si>
  <si>
    <r>
      <t>a</t>
    </r>
    <r>
      <rPr>
        <vertAlign val="subscript"/>
        <sz val="14"/>
        <rFont val="Arial"/>
        <family val="2"/>
      </rPr>
      <t>12</t>
    </r>
    <r>
      <rPr>
        <sz val="11"/>
        <color indexed="8"/>
        <rFont val="宋体"/>
        <family val="3"/>
        <charset val="134"/>
      </rPr>
      <t/>
    </r>
  </si>
  <si>
    <r>
      <t>a</t>
    </r>
    <r>
      <rPr>
        <vertAlign val="subscript"/>
        <sz val="14"/>
        <rFont val="Arial"/>
        <family val="2"/>
      </rPr>
      <t>13</t>
    </r>
    <r>
      <rPr>
        <sz val="11"/>
        <color indexed="8"/>
        <rFont val="宋体"/>
        <family val="3"/>
        <charset val="134"/>
      </rPr>
      <t/>
    </r>
  </si>
  <si>
    <r>
      <t>a</t>
    </r>
    <r>
      <rPr>
        <vertAlign val="subscript"/>
        <sz val="14"/>
        <rFont val="Arial"/>
        <family val="2"/>
      </rPr>
      <t>14</t>
    </r>
    <r>
      <rPr>
        <sz val="11"/>
        <color indexed="8"/>
        <rFont val="宋体"/>
        <family val="3"/>
        <charset val="134"/>
      </rPr>
      <t/>
    </r>
  </si>
  <si>
    <r>
      <t>a</t>
    </r>
    <r>
      <rPr>
        <vertAlign val="subscript"/>
        <sz val="14"/>
        <rFont val="Arial"/>
        <family val="2"/>
      </rPr>
      <t>15</t>
    </r>
    <r>
      <rPr>
        <sz val="11"/>
        <color indexed="8"/>
        <rFont val="宋体"/>
        <family val="3"/>
        <charset val="134"/>
      </rPr>
      <t/>
    </r>
  </si>
  <si>
    <r>
      <rPr>
        <u/>
        <sz val="14"/>
        <rFont val="Arial"/>
        <family val="2"/>
      </rPr>
      <t>Instructions</t>
    </r>
    <r>
      <rPr>
        <sz val="14"/>
        <rFont val="Arial"/>
        <family val="2"/>
      </rPr>
      <t xml:space="preserve">:  List your values in Column A, starting with cell A5.  The harmonic mean will be calculated automatically.  If you have more values than there are cells here, you must insert additional cells between A4 and A20. </t>
    </r>
  </si>
  <si>
    <t>Choose A Study Design</t>
  </si>
  <si>
    <t>Choose the Level at which the Treatment is Delivered</t>
  </si>
  <si>
    <t>Choose the Type of Model</t>
  </si>
  <si>
    <t>Choose the Number of Total Levels You Have</t>
  </si>
  <si>
    <t xml:space="preserve">Choose Specific RD Design </t>
  </si>
  <si>
    <r>
      <t>Model 1.0:  MDES Calculator for Individual Random Assignment (IRA) Designs</t>
    </r>
    <r>
      <rPr>
        <b/>
        <sz val="14"/>
        <color theme="1"/>
        <rFont val="Calibri"/>
        <family val="2"/>
      </rPr>
      <t>—</t>
    </r>
    <r>
      <rPr>
        <b/>
        <sz val="14"/>
        <color theme="1"/>
        <rFont val="Garamond"/>
        <family val="1"/>
      </rPr>
      <t>Completely Randomized Controlled Trials</t>
    </r>
  </si>
  <si>
    <r>
      <t>Model 2.4:  MDES Calculator for 3-Level Random Effects Blocked Individual Random Assignment Design (BIRA3_1r)</t>
    </r>
    <r>
      <rPr>
        <b/>
        <sz val="14"/>
        <color theme="1"/>
        <rFont val="Calibri"/>
        <family val="2"/>
      </rPr>
      <t>—</t>
    </r>
    <r>
      <rPr>
        <b/>
        <sz val="14"/>
        <color theme="1"/>
        <rFont val="Garamond"/>
        <family val="1"/>
      </rPr>
      <t>Individuals Randomized within Blocks</t>
    </r>
  </si>
  <si>
    <t>Level 2 treatment effect heterogeneity:  variance in treatment effect across Level 2 units, standardized by the Level-2 outcome variance</t>
  </si>
  <si>
    <r>
      <t>Model 3.1:  MDES Calculator for Two-Level Cluster Random Assignment Design (CRA2_2)</t>
    </r>
    <r>
      <rPr>
        <b/>
        <sz val="14"/>
        <color theme="1"/>
        <rFont val="Calibri"/>
        <family val="2"/>
      </rPr>
      <t>—</t>
    </r>
    <r>
      <rPr>
        <b/>
        <sz val="14"/>
        <color theme="1"/>
        <rFont val="Garamond"/>
        <family val="1"/>
      </rPr>
      <t xml:space="preserve"> Treatment at Level 2</t>
    </r>
  </si>
  <si>
    <r>
      <t>Model 3.2:  MDES Calculator for 3-Level Cluster  Random Assignment Designs (CRA3_3r)</t>
    </r>
    <r>
      <rPr>
        <b/>
        <sz val="14"/>
        <rFont val="Calibri"/>
        <family val="2"/>
      </rPr>
      <t>—</t>
    </r>
    <r>
      <rPr>
        <b/>
        <sz val="14"/>
        <rFont val="Garamond"/>
        <family val="1"/>
      </rPr>
      <t>Treatment at Level 3</t>
    </r>
  </si>
  <si>
    <r>
      <t>Model 3.3:  MDES Calculator for 4-Level Cluster  Random Assignment Designs (CRA4_4r)</t>
    </r>
    <r>
      <rPr>
        <b/>
        <sz val="14"/>
        <rFont val="Calibri"/>
        <family val="2"/>
      </rPr>
      <t>—</t>
    </r>
    <r>
      <rPr>
        <b/>
        <sz val="14"/>
        <rFont val="Garamond"/>
        <family val="1"/>
      </rPr>
      <t xml:space="preserve">Treatment at Level 4 </t>
    </r>
  </si>
  <si>
    <r>
      <t>Model 4.1:  MDES Calculator for 3-Level Fixed Effects Blocked Cluster Random Assignment Design (BCRA3_2f)</t>
    </r>
    <r>
      <rPr>
        <b/>
        <sz val="14"/>
        <rFont val="Calibri"/>
        <family val="2"/>
      </rPr>
      <t>—</t>
    </r>
    <r>
      <rPr>
        <b/>
        <sz val="14"/>
        <rFont val="Garamond"/>
        <family val="1"/>
      </rPr>
      <t>Treatment at Level 2</t>
    </r>
  </si>
  <si>
    <r>
      <t>Model 4.2:  MDES Calculator for 3-Level Random Effects Blocked Cluster Random Assignment Designs (BCRA3_2r)</t>
    </r>
    <r>
      <rPr>
        <b/>
        <sz val="14"/>
        <rFont val="Calibri"/>
        <family val="2"/>
      </rPr>
      <t>—</t>
    </r>
    <r>
      <rPr>
        <b/>
        <sz val="14"/>
        <rFont val="Garamond"/>
        <family val="1"/>
      </rPr>
      <t>Treatment at Level 2</t>
    </r>
  </si>
  <si>
    <r>
      <t>Model 4.3:  MDES Calculator for 4-Level Random Effects Block Random Assignment Designs (BCRA4_2r)</t>
    </r>
    <r>
      <rPr>
        <b/>
        <sz val="14"/>
        <rFont val="Calibri"/>
        <family val="2"/>
      </rPr>
      <t>—</t>
    </r>
    <r>
      <rPr>
        <b/>
        <sz val="14"/>
        <rFont val="Garamond"/>
        <family val="1"/>
      </rPr>
      <t>Treatment at Level 2</t>
    </r>
  </si>
  <si>
    <r>
      <t>Model 4.4:  MDES Calculator for 4-Level Fixed Effects Blocked Cluster Random Assignment Designs (BCRA4_3f)</t>
    </r>
    <r>
      <rPr>
        <b/>
        <sz val="14"/>
        <rFont val="Calibri"/>
        <family val="2"/>
      </rPr>
      <t>—</t>
    </r>
    <r>
      <rPr>
        <b/>
        <sz val="14"/>
        <rFont val="Garamond"/>
        <family val="1"/>
      </rPr>
      <t>Treatment at Level 3</t>
    </r>
  </si>
  <si>
    <r>
      <t>Model 4.5:  MDES Calculator for 4-Level Random Effects Blocked Cluster Random Assignment Designs (BCRA4_3r)</t>
    </r>
    <r>
      <rPr>
        <b/>
        <sz val="14"/>
        <rFont val="Calibri"/>
        <family val="2"/>
      </rPr>
      <t>—</t>
    </r>
    <r>
      <rPr>
        <b/>
        <sz val="14"/>
        <rFont val="Garamond"/>
        <family val="1"/>
      </rPr>
      <t>Treatment at Level 3</t>
    </r>
  </si>
  <si>
    <t xml:space="preserve">Proportion of variance in treatment effect between Level-4 blocks explained by Level-4 covariates </t>
  </si>
  <si>
    <r>
      <t>Model 5.1:  MDES Calculator for 2-Level Fixed Effects Regression Discontinuity Designs (RD2_1f)</t>
    </r>
    <r>
      <rPr>
        <b/>
        <sz val="14"/>
        <rFont val="Calibri"/>
        <family val="2"/>
      </rPr>
      <t>—</t>
    </r>
    <r>
      <rPr>
        <b/>
        <sz val="14"/>
        <rFont val="Garamond"/>
        <family val="1"/>
      </rPr>
      <t xml:space="preserve">  Design Effect Compared with Model 2.2 (BIRA2_1f)</t>
    </r>
  </si>
  <si>
    <t xml:space="preserve">Proportion of variance in Level 1 outcome explained by Block and Level 1 covariates </t>
  </si>
  <si>
    <r>
      <t>Model 5.2:  MDES Calculator for 2-Level Regression Discontinuity Designs with Random Effects (RD2_ir)</t>
    </r>
    <r>
      <rPr>
        <b/>
        <sz val="14"/>
        <rFont val="Calibri"/>
        <family val="2"/>
      </rPr>
      <t xml:space="preserve">— </t>
    </r>
    <r>
      <rPr>
        <b/>
        <sz val="14"/>
        <rFont val="Garamond"/>
        <family val="1"/>
      </rPr>
      <t>Design Effect Compared with Model 2.3 ( BIRA2-1r)</t>
    </r>
  </si>
  <si>
    <t xml:space="preserve">Proportion of variance in treatment effect between Level-2 blocks explained by Level-2 covariates </t>
  </si>
  <si>
    <t>Number of Level 2 units in sample</t>
  </si>
  <si>
    <t>Correlation between TREATMENT indicator and the score that is used for treatment assignment</t>
  </si>
  <si>
    <t>Correlation between TREATMENT indicator and  the score  used for treatment assignment</t>
  </si>
  <si>
    <t xml:space="preserve">Proportion of the Level 2 units randomized to treatment </t>
  </si>
  <si>
    <t xml:space="preserve">Number of Level 2 covariates used </t>
  </si>
  <si>
    <t>Computed from given alpha level, two-tailed or one-tailed test</t>
  </si>
  <si>
    <t>Correlation between TREATMENT indicator and the score used for treatment assignment</t>
  </si>
  <si>
    <r>
      <t>Model 5.6:  MDES Calculator for 3-Level Random Effects Regression Discontinuity Designs (RD3_2r)</t>
    </r>
    <r>
      <rPr>
        <b/>
        <sz val="14"/>
        <rFont val="Calibri"/>
        <family val="2"/>
      </rPr>
      <t>—</t>
    </r>
    <r>
      <rPr>
        <b/>
        <sz val="14"/>
        <rFont val="Garamond"/>
        <family val="1"/>
      </rPr>
      <t>Design Effect Compared with Model 4.2 (BRCA3_2r)</t>
    </r>
  </si>
  <si>
    <r>
      <t>Model 5.5:  MDES Calculator for 3-Level Fixed Effects Regression Discontinuity Designs (RD3_2f)</t>
    </r>
    <r>
      <rPr>
        <b/>
        <sz val="14"/>
        <rFont val="Calibri"/>
        <family val="2"/>
      </rPr>
      <t>—</t>
    </r>
    <r>
      <rPr>
        <b/>
        <sz val="14"/>
        <rFont val="Garamond"/>
        <family val="1"/>
      </rPr>
      <t xml:space="preserve"> Design Effect Compared with Model 4.1 (BCRA3_2f)</t>
    </r>
  </si>
  <si>
    <r>
      <t>Model 5.4:  MDES Calculator for 3-Level Regression Discontinuity Designs with Random Effects (RDC_3r)</t>
    </r>
    <r>
      <rPr>
        <b/>
        <sz val="14"/>
        <rFont val="Calibri"/>
        <family val="2"/>
      </rPr>
      <t xml:space="preserve">— </t>
    </r>
    <r>
      <rPr>
        <b/>
        <sz val="14"/>
        <rFont val="Garamond"/>
        <family val="1"/>
      </rPr>
      <t>Design Effect Compared with Model 3.2 (CRA3_3r)</t>
    </r>
  </si>
  <si>
    <r>
      <t>Model 2.1:  Sample Size Calculator for 2-Level Constant Effects Blocked Individual Random Assignment Designs( BIRA2_1c)</t>
    </r>
    <r>
      <rPr>
        <b/>
        <sz val="14"/>
        <rFont val="Calibri"/>
        <family val="2"/>
      </rPr>
      <t>—</t>
    </r>
    <r>
      <rPr>
        <b/>
        <sz val="14"/>
        <rFont val="Garamond"/>
        <family val="1"/>
      </rPr>
      <t xml:space="preserve"> School Intercepts Only </t>
    </r>
  </si>
  <si>
    <r>
      <t>Model 1.0:  Sample Size Calculator for Individual Random Assignment Designs (IRA)</t>
    </r>
    <r>
      <rPr>
        <b/>
        <sz val="14"/>
        <rFont val="Calibri"/>
        <family val="2"/>
      </rPr>
      <t>—</t>
    </r>
    <r>
      <rPr>
        <b/>
        <sz val="14"/>
        <rFont val="Garamond"/>
        <family val="1"/>
      </rPr>
      <t>Completely Randomized Controlled Trials</t>
    </r>
  </si>
  <si>
    <r>
      <t>Proportion of individuals randomized to treatment: n</t>
    </r>
    <r>
      <rPr>
        <vertAlign val="subscript"/>
        <sz val="14"/>
        <rFont val="Garamond"/>
        <family val="1"/>
      </rPr>
      <t>T</t>
    </r>
    <r>
      <rPr>
        <sz val="14"/>
        <rFont val="Garamond"/>
        <family val="1"/>
      </rPr>
      <t xml:space="preserve"> / (n</t>
    </r>
    <r>
      <rPr>
        <vertAlign val="subscript"/>
        <sz val="14"/>
        <rFont val="Garamond"/>
        <family val="1"/>
      </rPr>
      <t>T</t>
    </r>
    <r>
      <rPr>
        <sz val="14"/>
        <rFont val="Garamond"/>
        <family val="1"/>
      </rPr>
      <t xml:space="preserve"> + n</t>
    </r>
    <r>
      <rPr>
        <vertAlign val="subscript"/>
        <sz val="14"/>
        <rFont val="Garamond"/>
        <family val="1"/>
      </rPr>
      <t>C</t>
    </r>
    <r>
      <rPr>
        <sz val="14"/>
        <rFont val="Garamond"/>
        <family val="1"/>
      </rPr>
      <t>)</t>
    </r>
  </si>
  <si>
    <t>Number of blocks needed for the given MDES.</t>
  </si>
  <si>
    <r>
      <t>Model 2.4:  Sample Size Calculator for 3-Level Random Effects Blocked Individual Random Assignment Designs (BIRA3_12)</t>
    </r>
    <r>
      <rPr>
        <b/>
        <sz val="14"/>
        <rFont val="Calibri"/>
        <family val="2"/>
      </rPr>
      <t xml:space="preserve">— </t>
    </r>
    <r>
      <rPr>
        <b/>
        <sz val="14"/>
        <rFont val="Garamond"/>
        <family val="1"/>
      </rPr>
      <t>Treatment at Level 1</t>
    </r>
  </si>
  <si>
    <t>Level 3 treatment effect heterogeneity: variance in treatment effect across Level 3 units, standardized by variation in the Level-3  outcome</t>
  </si>
  <si>
    <r>
      <t>Model 2.5:  Sample Size Calculator for 4-Level Random Effects Blocked Individual Random Assignment Designs (BIRA4_1r)</t>
    </r>
    <r>
      <rPr>
        <b/>
        <sz val="14"/>
        <rFont val="Calibri"/>
        <family val="2"/>
      </rPr>
      <t>—</t>
    </r>
    <r>
      <rPr>
        <b/>
        <sz val="9.8000000000000007"/>
        <rFont val="Garamond"/>
        <family val="1"/>
      </rPr>
      <t xml:space="preserve"> T</t>
    </r>
    <r>
      <rPr>
        <b/>
        <sz val="14"/>
        <rFont val="Garamond"/>
        <family val="1"/>
      </rPr>
      <t>reatment at Level 1</t>
    </r>
  </si>
  <si>
    <t>Proportion of Level 2 units retained in analysis sample</t>
  </si>
  <si>
    <t>Proportion of Level 1 units retained in analysis sample</t>
  </si>
  <si>
    <t>Statistical power  (1 - probability of Type II error)</t>
  </si>
  <si>
    <r>
      <t>Model 3.1:  Sample Size Calculator for 2-Level Cluster Random Assignment Design (CRA2_2_)</t>
    </r>
    <r>
      <rPr>
        <b/>
        <sz val="14"/>
        <rFont val="Calibri"/>
        <family val="2"/>
      </rPr>
      <t>—</t>
    </r>
    <r>
      <rPr>
        <b/>
        <sz val="14"/>
        <rFont val="Garamond"/>
        <family val="1"/>
      </rPr>
      <t xml:space="preserve"> Treatment at Level 2</t>
    </r>
  </si>
  <si>
    <r>
      <t>Model 4.1:  Sample Size Calculator for 3-Level Fixed Effects Blocked Cluster Random Assignment Designs (BCRA3_2f)</t>
    </r>
    <r>
      <rPr>
        <b/>
        <sz val="14"/>
        <rFont val="Calibri"/>
        <family val="2"/>
      </rPr>
      <t>—</t>
    </r>
    <r>
      <rPr>
        <b/>
        <sz val="14"/>
        <rFont val="Garamond"/>
        <family val="1"/>
      </rPr>
      <t>Treatment at Level 2</t>
    </r>
  </si>
  <si>
    <t>Statistical power (1 - probability of Type II error)</t>
  </si>
  <si>
    <r>
      <t>Model 4.2:  Sample Size Calculator for 3-Level Random Effects Blocked Cluster Random Assignment Designs (BCRA3_2r)</t>
    </r>
    <r>
      <rPr>
        <b/>
        <sz val="14"/>
        <rFont val="Calibri"/>
        <family val="2"/>
      </rPr>
      <t xml:space="preserve">— </t>
    </r>
    <r>
      <rPr>
        <b/>
        <sz val="14"/>
        <rFont val="Garamond"/>
        <family val="1"/>
      </rPr>
      <t>Treatment at Level 2</t>
    </r>
  </si>
  <si>
    <t>Level 3 teatment effect heterogeneity:  variance in treatment effect across Level 3 units, standardized by Level-3 outcome variance:</t>
  </si>
  <si>
    <r>
      <t>Model 4.3:  Sample Size Calculator for 4-Level Random Effects Blocked Cluster Random Assignment Designs (BCRA4_2r)</t>
    </r>
    <r>
      <rPr>
        <b/>
        <sz val="14"/>
        <rFont val="Calibri"/>
        <family val="2"/>
      </rPr>
      <t>—</t>
    </r>
    <r>
      <rPr>
        <b/>
        <sz val="14"/>
        <rFont val="Garamond"/>
        <family val="1"/>
      </rPr>
      <t>Treatmentat at Level 2</t>
    </r>
  </si>
  <si>
    <t xml:space="preserve">Level 4 treatment effect heterogeneity:  variance in treatment effect across Level 4 units, standardized by  Level-4 outcome variation </t>
  </si>
  <si>
    <t xml:space="preserve">Proportion of variance between Level-4 blocks in the treatment effect explained by Level-4 covariates </t>
  </si>
  <si>
    <r>
      <t>Model 5.1:  Sample Size Calculator for 2-Level Fixed Effects Regression Discontinuity Design Studies (RD2_1f)</t>
    </r>
    <r>
      <rPr>
        <b/>
        <sz val="14"/>
        <rFont val="Calibri"/>
        <family val="2"/>
      </rPr>
      <t>—</t>
    </r>
    <r>
      <rPr>
        <b/>
        <sz val="14"/>
        <rFont val="Garamond"/>
        <family val="1"/>
      </rPr>
      <t>Design Effect Compared with BIRA2_1f</t>
    </r>
  </si>
  <si>
    <t>Proportion of variance in Level 1 outcome explained by Level 1 covariates</t>
  </si>
  <si>
    <t>Model 6.0:  Sample Size Calculator for Interrupted Time-Series Designs (ITS): 3-Level HLM with Random Cohort Effect and Constant Level 3  Effect</t>
  </si>
  <si>
    <t>Number of Level 3 blocks needed for the given MRES</t>
  </si>
  <si>
    <t>The number of top blocks needed for the given MRES.</t>
  </si>
  <si>
    <t>Number of clusters needed for given MRES</t>
  </si>
  <si>
    <t>Number of clusters needed for the given MRES</t>
  </si>
  <si>
    <t>Number of top blocks needed for the given MRES</t>
  </si>
  <si>
    <t>Number of Level 3 blocks for given MRES</t>
  </si>
  <si>
    <t>Number of Level 2 needed for given MRES</t>
  </si>
  <si>
    <t>Number of Level 4 blocks needed for given MRES</t>
  </si>
  <si>
    <t>Number of Level 3 blocks needed for given MRES</t>
  </si>
  <si>
    <t>Number of Level 4 clusters needed for given MDES.</t>
  </si>
  <si>
    <t>Number of Level 3 clusters needed for given MDES.</t>
  </si>
  <si>
    <t>Number of blocks needed for given MDES</t>
  </si>
  <si>
    <t>Number of top blocks needed for given MDES</t>
  </si>
  <si>
    <r>
      <t xml:space="preserve">Welcome to </t>
    </r>
    <r>
      <rPr>
        <b/>
        <i/>
        <sz val="20"/>
        <color indexed="10"/>
        <rFont val="Garamond"/>
        <family val="1"/>
      </rPr>
      <t>PowerUp!</t>
    </r>
    <r>
      <rPr>
        <sz val="20"/>
        <rFont val="Garamond"/>
        <family val="1"/>
      </rPr>
      <t>.  This workbook is primarily designed to aide in the a priori power analysis calculation of minimum detectable effect size (</t>
    </r>
    <r>
      <rPr>
        <i/>
        <sz val="20"/>
        <rFont val="Garamond"/>
        <family val="1"/>
      </rPr>
      <t>MDES</t>
    </r>
    <r>
      <rPr>
        <sz val="20"/>
        <rFont val="Garamond"/>
        <family val="1"/>
      </rPr>
      <t xml:space="preserve">) and sample size required for a given research design and analysis. There are multiple worksheets included in this workbook, each specific to a certain design and analysis.  The yellow cells on each worksheet contain parameter estimates that you will need to change according to the details of your design. To begin, click on the buttons below. To offer comments, please e-mail </t>
    </r>
    <r>
      <rPr>
        <sz val="20"/>
        <color theme="3"/>
        <rFont val="Garamond"/>
        <family val="1"/>
      </rPr>
      <t>nianbo.dong@gmail.com.</t>
    </r>
  </si>
  <si>
    <t>Model 2.1:  MDES Calculator for 2-Level Constant Effects Blocked Individual Random Assignment Designs (BIRA2_1c)—School Intercepts Only</t>
  </si>
  <si>
    <t>Model 2.2:  MDES Calculator for 2-Level Fixed Effects Blocked Individual Random Assignment Designs (BIRA2_1f)— School Intercepts and Interactions with TREATMENT</t>
  </si>
  <si>
    <t>Model 2.3:  MDES Calculator for 2-Level Random Effects Blocked Individual Random Assignment (BIRA2_1r) Designs— Individuals Randomized within Blocks</t>
  </si>
  <si>
    <t>Level 3 treatment effect heterogeneity:  variance in treatment effect across Level 3 units, standardized by Level-3 outcome variation</t>
  </si>
  <si>
    <t>Proportion of variance in outcome between Level 2 units</t>
  </si>
  <si>
    <t>Model 2.2:  Sample Size Calculator for 2-Level Fixed Effects Blocked Individual Random Assignment Designs (BIRA2_1f)—School Intercepts and Interactions with TREATMENT</t>
  </si>
  <si>
    <r>
      <t>Model 3.3:  Sample Size Calculator for 4-Level Cluster Random Assignment Designs (CRA4_4r)</t>
    </r>
    <r>
      <rPr>
        <b/>
        <sz val="14"/>
        <rFont val="Calibri"/>
        <family val="2"/>
      </rPr>
      <t>—</t>
    </r>
    <r>
      <rPr>
        <b/>
        <sz val="14"/>
        <rFont val="Garamond"/>
        <family val="1"/>
      </rPr>
      <t xml:space="preserve"> Treatment at Level 4</t>
    </r>
  </si>
  <si>
    <r>
      <t>Model 5.2:  Sample Size Calculator for 2-Level Random EffectsModel (RD2_1r)</t>
    </r>
    <r>
      <rPr>
        <b/>
        <sz val="14"/>
        <rFont val="Calibri"/>
        <family val="2"/>
      </rPr>
      <t>—</t>
    </r>
    <r>
      <rPr>
        <b/>
        <sz val="14"/>
        <rFont val="Garamond"/>
        <family val="1"/>
      </rPr>
      <t>Design Effect Compared with BIRA2-1r</t>
    </r>
  </si>
  <si>
    <t>Model 5.3: Sample Size Calculator for Two-Level RDC_2r (Design Effect is compared with CRA2_2r)</t>
  </si>
  <si>
    <t>Probability of a Type I error</t>
  </si>
  <si>
    <t xml:space="preserve">Probability of a Type I error </t>
  </si>
  <si>
    <t>Probability of Type I error</t>
  </si>
  <si>
    <t xml:space="preserve">Probability of Type I error </t>
  </si>
  <si>
    <t>Note: The parameters in yellow cells need to be specified. Then click "RUN" to calculate sample size.</t>
  </si>
  <si>
    <r>
      <rPr>
        <b/>
        <i/>
        <sz val="18"/>
        <color theme="3" tint="0.39997558519241921"/>
        <rFont val="Arial"/>
        <family val="2"/>
      </rPr>
      <t>PowerUp!</t>
    </r>
    <r>
      <rPr>
        <b/>
        <sz val="18"/>
        <color theme="3" tint="0.39997558519241921"/>
        <rFont val="Arial"/>
        <family val="2"/>
      </rPr>
      <t xml:space="preserve">:  A Tool for Calculating Minimum Detectable Effect Sizes and Minimum Required Sample Sizes </t>
    </r>
  </si>
  <si>
    <r>
      <rPr>
        <i/>
        <sz val="14"/>
        <color theme="1"/>
        <rFont val="Times New Roman"/>
        <family val="1"/>
      </rPr>
      <t>PowerUp!</t>
    </r>
    <r>
      <rPr>
        <sz val="14"/>
        <color theme="1"/>
        <rFont val="Times New Roman"/>
        <family val="1"/>
      </rPr>
      <t xml:space="preserve"> Models and Corresponding Worksheets</t>
    </r>
  </si>
  <si>
    <t>Proportion of variance between cohorts (See Bloom, 1999)</t>
  </si>
  <si>
    <t>Update Notes</t>
  </si>
  <si>
    <t>Date</t>
  </si>
  <si>
    <t>Notes</t>
  </si>
  <si>
    <t>Corrected an error for Interrupted Time Series Design (6.0 ITS and 6.0 N_ITS)</t>
  </si>
  <si>
    <t xml:space="preserve">Proportion of variance in Level 1 outcome explained by Level 1 covariates </t>
  </si>
  <si>
    <t>Proportion of variance in Level 2 outcome explained by Block and Level 2 covariates</t>
  </si>
  <si>
    <t>Proportion of variance in outcome between Level 2 units:  V2/(V1+V2)</t>
  </si>
  <si>
    <t xml:space="preserve">Proportion of variance in outcome between Level 3 units:  V3/(V1+V2+V3) </t>
  </si>
  <si>
    <t xml:space="preserve">Proportion of variance in outcome between Level 2 units:  V2/(V1+V2+V3) </t>
  </si>
  <si>
    <t xml:space="preserve">Proportion of variance in Level 2 mean outcomes explained by Level 2 covariates </t>
  </si>
  <si>
    <t>Proportion of between block variance in treatment effect explained by Level-3 covariates</t>
  </si>
  <si>
    <t>Proportion of variance in outcome between Level 3 units:  V3/(V1+V2+V3)</t>
  </si>
  <si>
    <t xml:space="preserve">Proportion of variance between Level 2 units: V2/(V1 + V2 +  V3) </t>
  </si>
  <si>
    <t xml:space="preserve">Proportion of variance in Level 1 outcome explained by the Level 1 covariates </t>
  </si>
  <si>
    <t xml:space="preserve">Proportion of variance in Level 2 outcome explained by the Level 2 covariates </t>
  </si>
  <si>
    <t>Proportion of variance in Level 3 outcome explained by the Level 3 covariates</t>
  </si>
  <si>
    <t>Percent of variance in outcome explained by covariates</t>
  </si>
  <si>
    <t>Proportion of variance in Level 1 outcome explained by Block and Level 1 covariates</t>
  </si>
  <si>
    <t>Proportion of variance in outcome between clusters</t>
  </si>
  <si>
    <t>Proportion of variance in the Level 1 outcome explained by Level 1 covariates</t>
  </si>
  <si>
    <t>Proportion of between block variance in treatment effect explained by Level 2 covariates</t>
  </si>
  <si>
    <t>Proportion of between block variance in treatment effect explained by Level 3 covariates</t>
  </si>
  <si>
    <t>Proportion of variance in Level 1 outcome explained by the Level 1 covariates</t>
  </si>
  <si>
    <t xml:space="preserve">Proportion of variance in outcome among Level 3 units (V3/(V1 + V2 + V3)) </t>
  </si>
  <si>
    <t xml:space="preserve">Proportion of variance in outcome among Level 2 units (V2/(V1 + V2 + V3)) </t>
  </si>
  <si>
    <t>Proportion of variance among Level 4 units (V3/(V1 + V2 + V3))</t>
  </si>
  <si>
    <t xml:space="preserve">Proportion of variance among Level 3 units (V3/(V1 + V2 + V3)) </t>
  </si>
  <si>
    <t>Proportion of variance among Level 2 units (V2/(V1 + V2 + V3))</t>
  </si>
  <si>
    <t>Proportion of variance in treatment effect explained by Block and Level 3 covariates</t>
  </si>
  <si>
    <t>Proportion of variance in treatment effect explained by  Block and Level 4 covariates</t>
  </si>
  <si>
    <t xml:space="preserve">Proportion of variance in outcome that is between clusters </t>
  </si>
  <si>
    <t xml:space="preserve">Proportion of variance in Level 1 outcomes explained by Level 1 covariates </t>
  </si>
  <si>
    <t>Proportion of variance among Level 3 units (V3/(V1 + V2 + V3))</t>
  </si>
  <si>
    <t>Proportion of variance in Level 1 outcome explained by  Level 1 covariates</t>
  </si>
  <si>
    <t xml:space="preserve">Proportion of variance in  Level 2 outcome explained by  Level 2 covariates </t>
  </si>
  <si>
    <t>Proportion of variance in  Level 3 outcome explained by Level 3 covariates</t>
  </si>
  <si>
    <t xml:space="preserve">Proportion of variance among Level 4 units (V4/(V1 + V2 + V3 + V4)) </t>
  </si>
  <si>
    <t>Proportion of variance among Level 3 units (V3/(V1 + V2 + V3+ V4))</t>
  </si>
  <si>
    <t>Proportion of variance among Level 2 units (V2/(V1 + V2 + V3 + V4))</t>
  </si>
  <si>
    <t xml:space="preserve">Proportion of explained variance in the Level 1 outcome by Level 1 covariates </t>
  </si>
  <si>
    <t xml:space="preserve">Proportion of variance in the Level 2 mean outcome explained by Level 2 covariates </t>
  </si>
  <si>
    <t xml:space="preserve">Proportion of variance in the Level 3 mean outcome explained by Level 3 covariates </t>
  </si>
  <si>
    <t>Proportion of variance in the Level 4 mean outcome explained by Level 4 covariates</t>
  </si>
  <si>
    <t xml:space="preserve">Proportion of variance among Level 2 units (V2/(V1 + V2)) </t>
  </si>
  <si>
    <t>Proportion of variance in  Level 1 outcome explained by Level 1 covariates</t>
  </si>
  <si>
    <t>Proportion of explained variance in the Level 2 mean outcome by Level 2 covariates</t>
  </si>
  <si>
    <t>Proportion of variance among Level 4 units (V4/(V1 + V2 + V3 + V4))</t>
  </si>
  <si>
    <t>Proportion of variance among Level 3 units (V3/(V1 + V2 + V3 + V4))</t>
  </si>
  <si>
    <t>Proportion of explained variance in the Level 1 outcome by Level 1 covariates</t>
  </si>
  <si>
    <t xml:space="preserve">Proportion of explained variance in the Level 2 mean outcome by Level 2 covariates </t>
  </si>
  <si>
    <t>Proportion of variance in the Level 2 mean outcome explained by Level 2 covariates</t>
  </si>
  <si>
    <t>Proportion of variance in the Level 3 mean outcome explained by Block and Level 3 covariates</t>
  </si>
  <si>
    <t>Estimated from empirical data (last two rows) or based on other assumptions</t>
  </si>
  <si>
    <t>Proportion of variance between clusters</t>
  </si>
  <si>
    <t>Proportion of variance in the Level 1 outcome explained by the Level 1 covariates</t>
  </si>
  <si>
    <t xml:space="preserve">Estimated from empirical data (last two rows) or based on other assumptions </t>
  </si>
  <si>
    <t>Estimated multiplier on sample size for Randomized Block Design study with equal power</t>
  </si>
  <si>
    <t xml:space="preserve">Proportion of variance among Level 2 units (V2/(V1 + V2 + V3)) </t>
  </si>
  <si>
    <t>Proportion of explained variance in the Level 1 outcome by the Level 1 covariates</t>
  </si>
  <si>
    <t>Proportion of explained variance in the Level 2 mean outcome by the Level 2 covariates</t>
  </si>
  <si>
    <t>Proportion of explained variance in the Level 3 mean outcome by the Level 3 covariate</t>
  </si>
  <si>
    <t xml:space="preserve">Estimated multiplier on sample size for Randomized Block Design study with equal power </t>
  </si>
  <si>
    <t>Proportion of variance among Level 2 units (V2/(V1 + V2 ))</t>
  </si>
  <si>
    <t xml:space="preserve">Proportion of explained variance in the Level 2 mean outcome by Block and Level 2 covariates </t>
  </si>
  <si>
    <t xml:space="preserve">Proportion of variance in the Level 1 outcome explained by Level 1 covariates </t>
  </si>
  <si>
    <t>The number of Level 3 units in the treated sample (program schools)</t>
  </si>
  <si>
    <t>Ratio of comparison units to experimental units (q)</t>
  </si>
  <si>
    <t>Note: The parameters in yellow cells need to be specified. The MDES will be calculated automatically.  This calculation assumes a design in which individuals are nested within successive grade cohorts in a school; cohort is a random effect; the school is constant effect. If there are comparison schools, then the total sample size at Level 3 is m*(1+q) with m program schools and mq comparison schools.</t>
  </si>
  <si>
    <t xml:space="preserve">Percent of variance in the outcome explained by covariates </t>
  </si>
  <si>
    <t>Proportion of variance in  Level 1 outcome explained by Block and Level 1 covariates</t>
  </si>
  <si>
    <t>Proportion of variance among Level 3 units:  V3/(V1 + V2 + V3)</t>
  </si>
  <si>
    <t>Proportion of variance among Level 2 units: V2/(V1 + V2 +  V3)</t>
  </si>
  <si>
    <t>Proportion of variance in the treatment effect between Level-2 blocks  explained by Level-2 covariates</t>
  </si>
  <si>
    <t>Proportion of variancein treatment effect between Level-3 blocks explained by Level-3 covariates</t>
  </si>
  <si>
    <t>Proportion of variance in treatment effect between Level-3 blocks explained by Level-3 covariates</t>
  </si>
  <si>
    <t>Proportion of variance in treatment effect between Level-2 blocks explained by Level-2 covariates</t>
  </si>
  <si>
    <t xml:space="preserve">Proportion of variance in  Level 1 outcome by the Level 1 covariates </t>
  </si>
  <si>
    <t>Proportion of variance among Level 4 units:  V4/(V1 + V2 + V3 + V4)</t>
  </si>
  <si>
    <t>Proportion of variance among Level 3 units: V3/(V1 + V2 + V3+ V4)</t>
  </si>
  <si>
    <t>Proportion of variance among Level 2 units:  V2/(V1 + V2 + V3+ V4)</t>
  </si>
  <si>
    <t xml:space="preserve">Level 4 treatment effect heterogeneity: variance in treatment effect across Level 4 units, standardized by variation in the Level-4 outcome </t>
  </si>
  <si>
    <t>Level 2 treatment effect heterogeneity:  variance in treatment effect across Level 2 units, standardized by variance in the Level-2 outcome</t>
  </si>
  <si>
    <t xml:space="preserve">Level 3 treatment effect heterogeneity: variation in treatment effect across Level 3 units, standardized by variation in the Level-3 outcome </t>
  </si>
  <si>
    <t xml:space="preserve">Level 2 treatment effect heterogeneity: variation in treatment effect across Level 2 units, standardized by variation in the Level-2 outcome  </t>
  </si>
  <si>
    <t>Proportion of variance in outcome that is between clusters</t>
  </si>
  <si>
    <t>Proportion of variance in outcome  between Level 4 units:  V4/(V1+V2+V3+V4)</t>
  </si>
  <si>
    <t>Proportion of variance in outcome between Level 3 units:  V3/(V1+V2+V3+V4)</t>
  </si>
  <si>
    <t>Proportion of variance in outcome between Level 2 units:  V2/(V1+V2+V3+V4)</t>
  </si>
  <si>
    <t>Proportion of variance in Level 3 outcome explained by Level 3 covariates</t>
  </si>
  <si>
    <t>Proportion of variance in Level 4 outcome explained by Level 4 covariates</t>
  </si>
  <si>
    <t>Proportion of variance between Level-3 blocks in treatment effect explained by Level-3 covariates</t>
  </si>
  <si>
    <t>Proportion of variance between Level-4 blocks in treatment effect explained by Level-4 covariates</t>
  </si>
  <si>
    <t>Proportion of variance in Level 2 mean outcomes explained by Level 2 covariates</t>
  </si>
  <si>
    <t>Proportion of variance in outcome that is between Level 3 units:  V3/(V1+V2+V3+V4)</t>
  </si>
  <si>
    <t xml:space="preserve">Proportion of variance in outcome between Level 4 units:  V4/(V1+V2+V3+V4) </t>
  </si>
  <si>
    <t xml:space="preserve">Level 3 treatment effect heterogeneity: variance in treatment effect across Level 3 units, standardized by  Level-3 outcome variation </t>
  </si>
  <si>
    <t xml:space="preserve">Proportion of variance in outcome that is between Level 3 units:  V3/(V1+V2+V3) </t>
  </si>
  <si>
    <t>Proportion of variance in outcome that is between Level 2 units:  V2/(V1+V2+V3)</t>
  </si>
  <si>
    <t>Proportion of variance in Level 3  outcomes explained by Block and Level 3 covariates</t>
  </si>
  <si>
    <t>Proportion of variance in outcome between Level 4 units:  V4/(V1+V2+V3+V4)</t>
  </si>
  <si>
    <t>Proportion of variance in Level 3  outcomes explained by Level 3 covariates</t>
  </si>
  <si>
    <t>Level 4 treatment effect heterogeneity:  variance in treatment effect across Level 4 units, standardized by  Level-4 outcome variation</t>
  </si>
  <si>
    <t xml:space="preserve">Automatically computed </t>
  </si>
  <si>
    <t xml:space="preserve">Proportion of between block variance in treatment effect explained by Level-2 covariates </t>
  </si>
  <si>
    <t>Proportion of variance in Level 2 mean outcome explained by Level 2 covariates</t>
  </si>
  <si>
    <t>Proportion of variance in outcome between Level 2 units:  V2/(V1+V2+V3)</t>
  </si>
  <si>
    <t>Proportion of variance in Level 3 mean outcome explained by Level 3 covariates</t>
  </si>
  <si>
    <t>Note: The parameters in yellow cells need to be specified. Then click "RUN" to calculate sample size. This calculation assumes a design in which individuals are nested within successive grade cohorts in a school; cohort is a random effect; the school is constant effect.</t>
  </si>
  <si>
    <t>K (# of program blocks)</t>
  </si>
  <si>
    <t>K2 (# of total blocks, program and comparison units)</t>
  </si>
  <si>
    <t>Number of Level 3 blocks in the treatment group needed for given MRES</t>
  </si>
  <si>
    <t>Number of Level 3 blocks in the treatment and comparison groups needed for given MRES</t>
  </si>
  <si>
    <t>Hedges, L. V., &amp; Hedberg, E. (2013). Intraclass Correlations and Covariate Outcome Correlations for Planning Two- and Three-Level Cluster-Randomized Experiments in Education. Evaluation Review, 37(6), 445-489.</t>
  </si>
  <si>
    <t>Kelcey, B., &amp; Phelps, G. (2013). Strategies for Improving Power in School Randomized Studies of Professional Development. Evaluation Review, 37(6), 520-554.</t>
  </si>
  <si>
    <t>Westine, C. D., Spybrook, J. &amp; Taylor, J. A. (2013). An Empirical Investigation of Variance Design Parameters for Planning Cluster-Randomized Trials of Science Achievement. Evaluation Review, 37(6), 490-519.</t>
  </si>
  <si>
    <t>References and Resources</t>
  </si>
  <si>
    <t>Updated references and resources about design parameters; Updated spreadsheets for calculating sample size for the new version of Excel; Added notes to ITS; Reformatted the spreadsheets.</t>
  </si>
  <si>
    <t>Corrected an error in sample size calculator for 3-level CRTs (3.2 N_CRA3_3r)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</si>
</sst>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
    <numFmt numFmtId="166" formatCode="0.0"/>
    <numFmt numFmtId="167" formatCode="0.00_ "/>
    <numFmt numFmtId="168" formatCode="0_ "/>
    <numFmt numFmtId="169" formatCode="0.000_ "/>
    <numFmt numFmtId="170" formatCode="0_);[Red]\(0\)"/>
    <numFmt numFmtId="171" formatCode="0.0_ "/>
    <numFmt numFmtId="172" formatCode="0.0_);[Red]\(0.0\)"/>
  </numFmts>
  <fonts count="54">
    <font>
      <sz val="10"/>
      <name val="Arial"/>
      <family val="2"/>
    </font>
    <font>
      <sz val="11"/>
      <color indexed="8"/>
      <name val="宋体"/>
      <family val="3"/>
      <charset val="134"/>
    </font>
    <font>
      <sz val="10"/>
      <name val="Garamond"/>
      <family val="1"/>
    </font>
    <font>
      <sz val="14"/>
      <name val="Garamond"/>
      <family val="1"/>
    </font>
    <font>
      <vertAlign val="subscript"/>
      <sz val="14"/>
      <name val="Garamond"/>
      <family val="1"/>
    </font>
    <font>
      <vertAlign val="superscript"/>
      <sz val="14"/>
      <name val="Garamond"/>
      <family val="1"/>
    </font>
    <font>
      <sz val="11"/>
      <name val="Garamond"/>
      <family val="1"/>
    </font>
    <font>
      <sz val="16"/>
      <name val="Garamond"/>
      <family val="1"/>
    </font>
    <font>
      <sz val="14"/>
      <name val="Arial"/>
      <family val="2"/>
    </font>
    <font>
      <sz val="9"/>
      <name val="宋体"/>
      <family val="3"/>
      <charset val="134"/>
    </font>
    <font>
      <sz val="36"/>
      <name val="Arial"/>
      <family val="2"/>
    </font>
    <font>
      <sz val="28"/>
      <name val="Arial"/>
      <family val="2"/>
    </font>
    <font>
      <sz val="30"/>
      <name val="Arial"/>
      <family val="2"/>
    </font>
    <font>
      <b/>
      <sz val="14"/>
      <name val="Garamond"/>
      <family val="1"/>
    </font>
    <font>
      <sz val="10"/>
      <name val="Arial"/>
      <family val="2"/>
    </font>
    <font>
      <sz val="9"/>
      <name val="宋体"/>
      <family val="3"/>
      <charset val="134"/>
    </font>
    <font>
      <u/>
      <sz val="9"/>
      <color theme="10"/>
      <name val="Arial"/>
      <family val="2"/>
    </font>
    <font>
      <sz val="20"/>
      <name val="Arial"/>
      <family val="2"/>
    </font>
    <font>
      <sz val="12"/>
      <name val="Times New Roman"/>
      <family val="1"/>
    </font>
    <font>
      <sz val="9"/>
      <name val="宋体"/>
      <family val="3"/>
      <charset val="134"/>
    </font>
    <font>
      <sz val="14"/>
      <name val="Calibri"/>
      <family val="2"/>
    </font>
    <font>
      <sz val="12"/>
      <color rgb="FF0000FF"/>
      <name val="Times New Roman"/>
      <family val="1"/>
    </font>
    <font>
      <b/>
      <sz val="14"/>
      <color theme="1"/>
      <name val="Garamond"/>
      <family val="1"/>
    </font>
    <font>
      <sz val="12"/>
      <color theme="1"/>
      <name val="Times New Roman"/>
      <family val="1"/>
    </font>
    <font>
      <i/>
      <sz val="12"/>
      <color theme="1"/>
      <name val="Times New Roman"/>
      <family val="1"/>
    </font>
    <font>
      <i/>
      <sz val="10.8"/>
      <color theme="1"/>
      <name val="Times New Roman"/>
      <family val="1"/>
    </font>
    <font>
      <b/>
      <sz val="12"/>
      <color theme="1"/>
      <name val="Times New Roman"/>
      <family val="1"/>
    </font>
    <font>
      <i/>
      <sz val="12"/>
      <color theme="1"/>
      <name val="宋体"/>
      <family val="3"/>
      <charset val="134"/>
    </font>
    <font>
      <sz val="9"/>
      <name val="Calibri"/>
      <family val="3"/>
      <charset val="134"/>
      <scheme val="minor"/>
    </font>
    <font>
      <sz val="12"/>
      <color theme="10"/>
      <name val="Times New Roman"/>
      <family val="1"/>
    </font>
    <font>
      <sz val="14"/>
      <color theme="1"/>
      <name val="Times New Roman"/>
      <family val="1"/>
    </font>
    <font>
      <i/>
      <sz val="14"/>
      <color theme="1"/>
      <name val="Times New Roman"/>
      <family val="1"/>
    </font>
    <font>
      <b/>
      <u/>
      <sz val="14"/>
      <color theme="1"/>
      <name val="Garamond"/>
      <family val="1"/>
    </font>
    <font>
      <b/>
      <sz val="14"/>
      <color theme="1"/>
      <name val="Calibri"/>
      <family val="2"/>
    </font>
    <font>
      <sz val="14"/>
      <color rgb="FFFF0000"/>
      <name val="Garamond"/>
      <family val="1"/>
    </font>
    <font>
      <b/>
      <sz val="14"/>
      <name val="Calibri"/>
      <family val="2"/>
    </font>
    <font>
      <b/>
      <sz val="10.5"/>
      <name val="Garamond"/>
      <family val="1"/>
    </font>
    <font>
      <b/>
      <sz val="9.8000000000000007"/>
      <name val="Garamond"/>
      <family val="1"/>
    </font>
    <font>
      <sz val="14"/>
      <color rgb="FFC00000"/>
      <name val="Garamond"/>
      <family val="1"/>
    </font>
    <font>
      <sz val="20"/>
      <name val="Garamond"/>
      <family val="1"/>
    </font>
    <font>
      <vertAlign val="subscript"/>
      <sz val="14"/>
      <name val="Arial"/>
      <family val="2"/>
    </font>
    <font>
      <u/>
      <sz val="14"/>
      <name val="Arial"/>
      <family val="2"/>
    </font>
    <font>
      <sz val="24"/>
      <name val="Arial"/>
      <family val="2"/>
    </font>
    <font>
      <b/>
      <i/>
      <sz val="20"/>
      <color indexed="10"/>
      <name val="Garamond"/>
      <family val="1"/>
    </font>
    <font>
      <i/>
      <sz val="20"/>
      <name val="Garamond"/>
      <family val="1"/>
    </font>
    <font>
      <sz val="20"/>
      <color theme="3"/>
      <name val="Garamond"/>
      <family val="1"/>
    </font>
    <font>
      <sz val="14"/>
      <color indexed="10"/>
      <name val="Garamond"/>
      <family val="1"/>
    </font>
    <font>
      <b/>
      <sz val="18"/>
      <color theme="3" tint="0.39997558519241921"/>
      <name val="Arial"/>
      <family val="2"/>
    </font>
    <font>
      <b/>
      <i/>
      <sz val="18"/>
      <color theme="3" tint="0.39997558519241921"/>
      <name val="Arial"/>
      <family val="2"/>
    </font>
    <font>
      <sz val="18"/>
      <name val="Arial"/>
      <family val="2"/>
    </font>
    <font>
      <sz val="11"/>
      <color rgb="FF000000"/>
      <name val="Garamond"/>
      <family val="1"/>
    </font>
    <font>
      <sz val="16"/>
      <name val="Arial"/>
      <family val="2"/>
    </font>
    <font>
      <b/>
      <sz val="14"/>
      <color rgb="FFFF0000"/>
      <name val="Garamond"/>
      <family val="1"/>
    </font>
    <font>
      <u/>
      <sz val="14"/>
      <color theme="10"/>
      <name val="Times New Roman"/>
      <family val="1"/>
    </font>
  </fonts>
  <fills count="1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rgb="FFFFFF00"/>
        <bgColor indexed="64"/>
      </patternFill>
    </fill>
    <fill>
      <patternFill patternType="solid">
        <fgColor rgb="FFCCFFCC"/>
        <bgColor indexed="64"/>
      </patternFill>
    </fill>
    <fill>
      <patternFill patternType="solid">
        <fgColor rgb="FF05FF76"/>
        <bgColor indexed="64"/>
      </patternFill>
    </fill>
    <fill>
      <patternFill patternType="solid">
        <fgColor theme="4" tint="0.59999389629810485"/>
        <bgColor indexed="64"/>
      </patternFill>
    </fill>
    <fill>
      <patternFill patternType="solid">
        <fgColor rgb="FFFFFFCC"/>
        <bgColor indexed="64"/>
      </patternFill>
    </fill>
    <fill>
      <patternFill patternType="solid">
        <fgColor theme="0"/>
        <bgColor indexed="64"/>
      </patternFill>
    </fill>
    <fill>
      <patternFill patternType="solid">
        <fgColor theme="0" tint="-4.9989318521683403E-2"/>
        <bgColor indexed="64"/>
      </patternFill>
    </fill>
    <fill>
      <patternFill patternType="solid">
        <fgColor rgb="FF0AFA77"/>
        <bgColor indexed="64"/>
      </patternFill>
    </fill>
    <fill>
      <patternFill patternType="solid">
        <fgColor rgb="FFDFFBD5"/>
        <bgColor indexed="64"/>
      </patternFill>
    </fill>
    <fill>
      <patternFill patternType="solid">
        <fgColor theme="3" tint="0.59999389629810485"/>
        <bgColor indexed="64"/>
      </patternFill>
    </fill>
  </fills>
  <borders count="39">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14" fillId="0" borderId="0"/>
  </cellStyleXfs>
  <cellXfs count="355">
    <xf numFmtId="0" fontId="0" fillId="0" borderId="0" xfId="0"/>
    <xf numFmtId="167" fontId="2" fillId="0" borderId="0" xfId="0" applyNumberFormat="1" applyFont="1" applyProtection="1">
      <protection locked="0"/>
    </xf>
    <xf numFmtId="165" fontId="2" fillId="0" borderId="0" xfId="0" applyNumberFormat="1" applyFont="1" applyProtection="1">
      <protection locked="0"/>
    </xf>
    <xf numFmtId="0" fontId="2" fillId="0" borderId="0" xfId="0" applyFont="1" applyProtection="1">
      <protection locked="0"/>
    </xf>
    <xf numFmtId="0" fontId="7" fillId="0" borderId="0" xfId="0" applyFont="1" applyProtection="1">
      <protection locked="0"/>
    </xf>
    <xf numFmtId="0" fontId="2" fillId="0" borderId="0" xfId="0" applyFont="1" applyAlignment="1" applyProtection="1">
      <alignment horizontal="center"/>
      <protection locked="0"/>
    </xf>
    <xf numFmtId="0" fontId="2" fillId="0" borderId="0" xfId="0" applyFont="1" applyAlignment="1" applyProtection="1">
      <alignment vertical="center"/>
      <protection locked="0"/>
    </xf>
    <xf numFmtId="164" fontId="3" fillId="0" borderId="0" xfId="0" applyNumberFormat="1" applyFont="1" applyAlignment="1" applyProtection="1">
      <alignment horizontal="center"/>
      <protection locked="0"/>
    </xf>
    <xf numFmtId="167" fontId="2" fillId="0" borderId="0" xfId="0" applyNumberFormat="1" applyFont="1" applyAlignment="1" applyProtection="1">
      <alignment vertical="center"/>
      <protection locked="0"/>
    </xf>
    <xf numFmtId="0" fontId="18" fillId="0" borderId="0" xfId="2" applyFont="1" applyAlignment="1">
      <alignment vertical="center" wrapText="1"/>
    </xf>
    <xf numFmtId="0" fontId="3" fillId="0" borderId="0" xfId="0" applyFont="1" applyAlignment="1" applyProtection="1">
      <alignment vertical="center"/>
      <protection locked="0"/>
    </xf>
    <xf numFmtId="0" fontId="23" fillId="0" borderId="7" xfId="2" applyFont="1" applyBorder="1" applyAlignment="1">
      <alignment horizontal="center" vertical="center" wrapText="1"/>
    </xf>
    <xf numFmtId="0" fontId="23" fillId="0" borderId="2" xfId="2" applyFont="1" applyBorder="1" applyAlignment="1">
      <alignment horizontal="center" vertical="center" wrapText="1"/>
    </xf>
    <xf numFmtId="0" fontId="23" fillId="0" borderId="0" xfId="2" applyFont="1" applyAlignment="1">
      <alignment vertical="center" wrapText="1"/>
    </xf>
    <xf numFmtId="0" fontId="23" fillId="0" borderId="2" xfId="2" applyFont="1" applyBorder="1" applyAlignment="1">
      <alignment vertical="center" wrapText="1"/>
    </xf>
    <xf numFmtId="166" fontId="23" fillId="0" borderId="2" xfId="2" applyNumberFormat="1" applyFont="1" applyBorder="1" applyAlignment="1">
      <alignment horizontal="center" vertical="center" wrapText="1"/>
    </xf>
    <xf numFmtId="0" fontId="23" fillId="0" borderId="9" xfId="2" applyFont="1" applyBorder="1" applyAlignment="1">
      <alignment horizontal="center" vertical="center" wrapText="1"/>
    </xf>
    <xf numFmtId="0" fontId="23" fillId="0" borderId="2" xfId="2" applyFont="1" applyBorder="1" applyAlignment="1">
      <alignment horizontal="center" vertical="top" wrapText="1"/>
    </xf>
    <xf numFmtId="0" fontId="23" fillId="0" borderId="15" xfId="2" applyFont="1" applyBorder="1" applyAlignment="1">
      <alignment horizontal="center" vertical="center" wrapText="1"/>
    </xf>
    <xf numFmtId="0" fontId="23" fillId="0" borderId="7" xfId="2" applyFont="1" applyBorder="1" applyAlignment="1">
      <alignment horizontal="center" vertical="top" wrapText="1"/>
    </xf>
    <xf numFmtId="0" fontId="23" fillId="0" borderId="17" xfId="2" applyFont="1" applyBorder="1" applyAlignment="1">
      <alignment horizontal="center" vertical="center" wrapText="1"/>
    </xf>
    <xf numFmtId="0" fontId="23" fillId="0" borderId="6" xfId="2" applyFont="1" applyBorder="1" applyAlignment="1">
      <alignment horizontal="center" vertical="top" wrapText="1"/>
    </xf>
    <xf numFmtId="0" fontId="23" fillId="0" borderId="10" xfId="2" applyFont="1" applyBorder="1" applyAlignment="1">
      <alignment horizontal="center" vertical="center" wrapText="1"/>
    </xf>
    <xf numFmtId="0" fontId="23" fillId="0" borderId="14" xfId="2" applyFont="1" applyBorder="1" applyAlignment="1">
      <alignment horizontal="center" vertical="center" wrapText="1"/>
    </xf>
    <xf numFmtId="0" fontId="23" fillId="0" borderId="6" xfId="2" applyFont="1" applyBorder="1" applyAlignment="1">
      <alignment horizontal="center" vertical="center" wrapText="1"/>
    </xf>
    <xf numFmtId="0" fontId="23" fillId="0" borderId="18" xfId="2" applyFont="1" applyBorder="1" applyAlignment="1">
      <alignment horizontal="center" vertical="center" wrapText="1"/>
    </xf>
    <xf numFmtId="0" fontId="23" fillId="0" borderId="0" xfId="2" applyFont="1" applyAlignment="1">
      <alignment horizontal="center" vertical="center" wrapText="1"/>
    </xf>
    <xf numFmtId="49" fontId="23" fillId="0" borderId="0" xfId="2" applyNumberFormat="1" applyFont="1" applyAlignment="1">
      <alignment vertical="center" wrapText="1"/>
    </xf>
    <xf numFmtId="49" fontId="18" fillId="0" borderId="0" xfId="2" applyNumberFormat="1" applyFont="1" applyAlignment="1">
      <alignment vertical="center" wrapText="1"/>
    </xf>
    <xf numFmtId="49" fontId="21" fillId="0" borderId="2" xfId="1" applyNumberFormat="1" applyFont="1" applyFill="1" applyBorder="1" applyAlignment="1" applyProtection="1">
      <alignment horizontal="center" vertical="center"/>
    </xf>
    <xf numFmtId="0" fontId="21" fillId="0" borderId="10" xfId="1" applyFont="1" applyFill="1" applyBorder="1" applyAlignment="1" applyProtection="1">
      <alignment horizontal="center" vertical="center"/>
    </xf>
    <xf numFmtId="49" fontId="21" fillId="0" borderId="2" xfId="1" quotePrefix="1" applyNumberFormat="1" applyFont="1" applyFill="1" applyBorder="1" applyAlignment="1" applyProtection="1">
      <alignment horizontal="center" vertical="center"/>
    </xf>
    <xf numFmtId="49" fontId="21" fillId="0" borderId="7" xfId="1" applyNumberFormat="1" applyFont="1" applyFill="1" applyBorder="1" applyAlignment="1" applyProtection="1">
      <alignment horizontal="center" vertical="center"/>
    </xf>
    <xf numFmtId="0" fontId="21" fillId="0" borderId="15" xfId="1" applyFont="1" applyFill="1" applyBorder="1" applyAlignment="1" applyProtection="1">
      <alignment horizontal="center" vertical="center"/>
    </xf>
    <xf numFmtId="0" fontId="3" fillId="0" borderId="0" xfId="0" applyFont="1" applyAlignment="1" applyProtection="1">
      <alignment vertical="center" wrapText="1"/>
      <protection locked="0"/>
    </xf>
    <xf numFmtId="49" fontId="29" fillId="0" borderId="2" xfId="1" applyNumberFormat="1" applyFont="1" applyFill="1" applyBorder="1" applyAlignment="1" applyProtection="1">
      <alignment horizontal="center" vertical="center"/>
    </xf>
    <xf numFmtId="0" fontId="29" fillId="0" borderId="10" xfId="1" applyFont="1" applyFill="1" applyBorder="1" applyAlignment="1" applyProtection="1">
      <alignment horizontal="center" vertical="center"/>
    </xf>
    <xf numFmtId="49" fontId="29" fillId="0" borderId="6" xfId="1" applyNumberFormat="1" applyFont="1" applyFill="1" applyBorder="1" applyAlignment="1" applyProtection="1">
      <alignment horizontal="center" vertical="center"/>
    </xf>
    <xf numFmtId="0" fontId="3" fillId="12" borderId="0" xfId="0" applyFont="1" applyFill="1" applyProtection="1">
      <protection locked="0"/>
    </xf>
    <xf numFmtId="0" fontId="3" fillId="0" borderId="0" xfId="0" applyFont="1" applyProtection="1">
      <protection locked="0"/>
    </xf>
    <xf numFmtId="0" fontId="3" fillId="0" borderId="3" xfId="0" applyFont="1" applyBorder="1" applyAlignment="1" applyProtection="1">
      <alignment horizontal="center" wrapText="1"/>
      <protection locked="0"/>
    </xf>
    <xf numFmtId="0" fontId="13" fillId="0" borderId="3" xfId="0" applyFont="1" applyBorder="1" applyAlignment="1" applyProtection="1">
      <alignment horizontal="center" wrapText="1"/>
      <protection locked="0"/>
    </xf>
    <xf numFmtId="49" fontId="23" fillId="0" borderId="2" xfId="2" applyNumberFormat="1" applyFont="1" applyBorder="1" applyAlignment="1">
      <alignment horizontal="center" vertical="center" wrapText="1"/>
    </xf>
    <xf numFmtId="0" fontId="23" fillId="0" borderId="11" xfId="2" applyFont="1" applyBorder="1" applyAlignment="1">
      <alignment vertical="center" wrapText="1"/>
    </xf>
    <xf numFmtId="0" fontId="23" fillId="0" borderId="6" xfId="2" applyFont="1" applyBorder="1" applyAlignment="1">
      <alignment wrapText="1"/>
    </xf>
    <xf numFmtId="49" fontId="23" fillId="0" borderId="2" xfId="2" applyNumberFormat="1" applyFont="1" applyBorder="1" applyAlignment="1">
      <alignment horizontal="center" wrapText="1"/>
    </xf>
    <xf numFmtId="0" fontId="23" fillId="0" borderId="14" xfId="2" applyFont="1" applyBorder="1" applyAlignment="1">
      <alignment horizontal="center" wrapText="1"/>
    </xf>
    <xf numFmtId="0" fontId="24" fillId="14" borderId="9" xfId="2" applyFont="1" applyFill="1" applyBorder="1" applyAlignment="1">
      <alignment vertical="center"/>
    </xf>
    <xf numFmtId="0" fontId="24" fillId="14" borderId="1" xfId="2" applyFont="1" applyFill="1" applyBorder="1" applyAlignment="1">
      <alignment horizontal="center" vertical="center"/>
    </xf>
    <xf numFmtId="49" fontId="24" fillId="14" borderId="1" xfId="2" applyNumberFormat="1" applyFont="1" applyFill="1" applyBorder="1" applyAlignment="1">
      <alignment horizontal="center" vertical="center"/>
    </xf>
    <xf numFmtId="0" fontId="24" fillId="14" borderId="10" xfId="2" applyFont="1" applyFill="1" applyBorder="1" applyAlignment="1">
      <alignment horizontal="center" vertical="center"/>
    </xf>
    <xf numFmtId="0" fontId="26" fillId="14" borderId="9" xfId="2" applyFont="1" applyFill="1" applyBorder="1" applyAlignment="1">
      <alignment vertical="center"/>
    </xf>
    <xf numFmtId="0" fontId="23" fillId="14" borderId="1" xfId="2" applyFont="1" applyFill="1" applyBorder="1" applyAlignment="1">
      <alignment horizontal="center" vertical="center"/>
    </xf>
    <xf numFmtId="49" fontId="23" fillId="14" borderId="1" xfId="2" applyNumberFormat="1" applyFont="1" applyFill="1" applyBorder="1" applyAlignment="1">
      <alignment horizontal="center" vertical="center"/>
    </xf>
    <xf numFmtId="0" fontId="23" fillId="14" borderId="10" xfId="2" applyFont="1" applyFill="1" applyBorder="1" applyAlignment="1">
      <alignment horizontal="center" vertical="center"/>
    </xf>
    <xf numFmtId="0" fontId="24" fillId="14" borderId="9" xfId="2" applyFont="1" applyFill="1" applyBorder="1" applyAlignment="1">
      <alignment horizontal="left" vertical="center"/>
    </xf>
    <xf numFmtId="0" fontId="24" fillId="14" borderId="1" xfId="2" applyFont="1" applyFill="1" applyBorder="1" applyAlignment="1">
      <alignment horizontal="center" vertical="center" wrapText="1"/>
    </xf>
    <xf numFmtId="49" fontId="21" fillId="14" borderId="1" xfId="1" applyNumberFormat="1" applyFont="1" applyFill="1" applyBorder="1" applyAlignment="1" applyProtection="1">
      <alignment horizontal="center" vertical="center"/>
    </xf>
    <xf numFmtId="0" fontId="21" fillId="14" borderId="10" xfId="1" applyFont="1" applyFill="1" applyBorder="1" applyAlignment="1" applyProtection="1">
      <alignment horizontal="center" vertical="center"/>
    </xf>
    <xf numFmtId="49" fontId="21" fillId="14" borderId="1" xfId="2" applyNumberFormat="1" applyFont="1" applyFill="1" applyBorder="1" applyAlignment="1">
      <alignment horizontal="center" vertical="center"/>
    </xf>
    <xf numFmtId="0" fontId="21" fillId="14" borderId="10" xfId="2" applyFont="1" applyFill="1" applyBorder="1" applyAlignment="1">
      <alignment horizontal="center" vertical="center"/>
    </xf>
    <xf numFmtId="0" fontId="3" fillId="0" borderId="0" xfId="0" applyFont="1" applyAlignment="1" applyProtection="1">
      <alignment horizontal="center"/>
      <protection locked="0"/>
    </xf>
    <xf numFmtId="165" fontId="3" fillId="0" borderId="0" xfId="0" applyNumberFormat="1" applyFont="1" applyProtection="1">
      <protection locked="0"/>
    </xf>
    <xf numFmtId="165" fontId="3" fillId="0" borderId="0" xfId="0" applyNumberFormat="1" applyFont="1" applyAlignment="1" applyProtection="1">
      <alignment vertical="center"/>
      <protection locked="0"/>
    </xf>
    <xf numFmtId="167" fontId="3" fillId="0" borderId="0" xfId="0" applyNumberFormat="1" applyFont="1" applyProtection="1">
      <protection locked="0"/>
    </xf>
    <xf numFmtId="0" fontId="3" fillId="12" borderId="0" xfId="0" applyFont="1" applyFill="1" applyAlignment="1" applyProtection="1">
      <alignment horizontal="center"/>
      <protection locked="0"/>
    </xf>
    <xf numFmtId="0" fontId="3" fillId="12" borderId="0" xfId="0" applyFont="1" applyFill="1" applyAlignment="1" applyProtection="1">
      <alignment vertical="center"/>
      <protection locked="0"/>
    </xf>
    <xf numFmtId="167" fontId="3" fillId="0" borderId="0" xfId="0" applyNumberFormat="1" applyFont="1" applyAlignment="1" applyProtection="1">
      <alignment vertical="center"/>
      <protection locked="0"/>
    </xf>
    <xf numFmtId="0" fontId="3" fillId="0" borderId="0" xfId="0" applyFont="1" applyAlignment="1" applyProtection="1">
      <alignment vertical="top"/>
      <protection locked="0"/>
    </xf>
    <xf numFmtId="0" fontId="3" fillId="0" borderId="0" xfId="0" applyFont="1" applyAlignment="1" applyProtection="1">
      <alignment horizontal="center" vertical="top"/>
      <protection locked="0"/>
    </xf>
    <xf numFmtId="0" fontId="3" fillId="12" borderId="0" xfId="0" applyFont="1" applyFill="1" applyAlignment="1" applyProtection="1">
      <alignment vertical="top"/>
      <protection locked="0"/>
    </xf>
    <xf numFmtId="0" fontId="3" fillId="12" borderId="0" xfId="0" applyFont="1" applyFill="1" applyAlignment="1" applyProtection="1">
      <alignment horizontal="center" vertical="top"/>
      <protection locked="0"/>
    </xf>
    <xf numFmtId="167" fontId="3" fillId="0" borderId="2" xfId="0" applyNumberFormat="1" applyFont="1" applyBorder="1" applyAlignment="1">
      <alignment horizontal="center" vertical="top" wrapText="1"/>
    </xf>
    <xf numFmtId="0" fontId="3" fillId="0" borderId="0" xfId="0" applyFont="1" applyAlignment="1" applyProtection="1">
      <alignment horizontal="center" vertical="center"/>
      <protection locked="0"/>
    </xf>
    <xf numFmtId="0" fontId="3" fillId="0" borderId="3" xfId="0" applyFont="1" applyBorder="1" applyAlignment="1" applyProtection="1">
      <alignment horizontal="center" vertical="center" wrapText="1"/>
      <protection locked="0"/>
    </xf>
    <xf numFmtId="0" fontId="13" fillId="0" borderId="0" xfId="0" applyFont="1" applyAlignment="1" applyProtection="1">
      <alignment horizontal="left" vertical="center"/>
      <protection locked="0"/>
    </xf>
    <xf numFmtId="0" fontId="3" fillId="0" borderId="0" xfId="0" applyFont="1" applyAlignment="1" applyProtection="1">
      <alignment horizontal="left" vertical="center" wrapText="1"/>
      <protection locked="0"/>
    </xf>
    <xf numFmtId="0" fontId="8" fillId="0" borderId="0" xfId="0" applyFont="1" applyAlignment="1" applyProtection="1">
      <alignment vertical="center" wrapText="1"/>
      <protection locked="0"/>
    </xf>
    <xf numFmtId="167" fontId="3" fillId="0" borderId="2" xfId="0" applyNumberFormat="1" applyFont="1" applyBorder="1" applyAlignment="1">
      <alignment horizontal="center" vertical="center" wrapText="1"/>
    </xf>
    <xf numFmtId="0" fontId="3" fillId="0" borderId="1" xfId="0" applyFont="1" applyBorder="1" applyAlignment="1" applyProtection="1">
      <alignment horizontal="center" vertical="center" wrapText="1"/>
      <protection locked="0"/>
    </xf>
    <xf numFmtId="165" fontId="34" fillId="0" borderId="0" xfId="0" applyNumberFormat="1" applyFont="1" applyAlignment="1" applyProtection="1">
      <alignment vertical="center"/>
      <protection locked="0"/>
    </xf>
    <xf numFmtId="0" fontId="8" fillId="0" borderId="0" xfId="0" applyFont="1"/>
    <xf numFmtId="0" fontId="8" fillId="0" borderId="2" xfId="0" applyFont="1" applyBorder="1"/>
    <xf numFmtId="0" fontId="8" fillId="0" borderId="7" xfId="0" applyFont="1" applyBorder="1"/>
    <xf numFmtId="0" fontId="8" fillId="0" borderId="4" xfId="0" applyFont="1" applyBorder="1" applyAlignment="1">
      <alignment horizontal="center" vertical="center"/>
    </xf>
    <xf numFmtId="0" fontId="0" fillId="0" borderId="3" xfId="0" applyBorder="1"/>
    <xf numFmtId="0" fontId="0" fillId="0" borderId="19" xfId="0" applyBorder="1"/>
    <xf numFmtId="0" fontId="42" fillId="0" borderId="3" xfId="0" applyFont="1" applyBorder="1"/>
    <xf numFmtId="171" fontId="3" fillId="0" borderId="0" xfId="0" applyNumberFormat="1" applyFont="1" applyAlignment="1">
      <alignment horizontal="center" vertical="center"/>
    </xf>
    <xf numFmtId="169" fontId="3" fillId="0" borderId="0" xfId="0" applyNumberFormat="1" applyFont="1" applyAlignment="1">
      <alignment horizontal="center" vertical="center"/>
    </xf>
    <xf numFmtId="0" fontId="49" fillId="0" borderId="0" xfId="0" applyFont="1" applyAlignment="1">
      <alignment wrapText="1"/>
    </xf>
    <xf numFmtId="0" fontId="6" fillId="0" borderId="0" xfId="0" applyFont="1" applyAlignment="1">
      <alignment vertical="top" wrapText="1"/>
    </xf>
    <xf numFmtId="0" fontId="50" fillId="0" borderId="0" xfId="0" applyFont="1" applyAlignment="1">
      <alignment vertical="top" wrapText="1"/>
    </xf>
    <xf numFmtId="0" fontId="3" fillId="0" borderId="0" xfId="0" applyFont="1" applyAlignment="1">
      <alignment horizontal="center" vertical="center" wrapText="1"/>
    </xf>
    <xf numFmtId="0" fontId="3" fillId="0" borderId="13" xfId="0" applyFont="1" applyBorder="1" applyAlignment="1" applyProtection="1">
      <alignment horizontal="left" vertical="center" wrapText="1"/>
      <protection locked="0"/>
    </xf>
    <xf numFmtId="0" fontId="3" fillId="0" borderId="0" xfId="0" applyFont="1" applyAlignment="1" applyProtection="1">
      <alignment horizontal="left" vertical="center"/>
      <protection locked="0"/>
    </xf>
    <xf numFmtId="0" fontId="3" fillId="8" borderId="2" xfId="0" applyFont="1" applyFill="1" applyBorder="1" applyAlignment="1" applyProtection="1">
      <alignment horizontal="center" vertical="center"/>
      <protection locked="0"/>
    </xf>
    <xf numFmtId="0" fontId="3" fillId="12" borderId="2" xfId="0" applyFont="1" applyFill="1" applyBorder="1" applyAlignment="1" applyProtection="1">
      <alignment horizontal="center" vertical="center" wrapText="1"/>
      <protection locked="0"/>
    </xf>
    <xf numFmtId="2" fontId="3" fillId="12" borderId="2" xfId="0" applyNumberFormat="1" applyFont="1" applyFill="1" applyBorder="1" applyAlignment="1" applyProtection="1">
      <alignment horizontal="center" vertical="center" wrapText="1"/>
      <protection locked="0"/>
    </xf>
    <xf numFmtId="2" fontId="3" fillId="8" borderId="2" xfId="0" applyNumberFormat="1" applyFont="1" applyFill="1" applyBorder="1" applyAlignment="1" applyProtection="1">
      <alignment horizontal="center" vertical="center"/>
      <protection locked="0"/>
    </xf>
    <xf numFmtId="170" fontId="3" fillId="8" borderId="2" xfId="0" applyNumberFormat="1" applyFont="1" applyFill="1" applyBorder="1" applyAlignment="1" applyProtection="1">
      <alignment horizontal="center" vertical="center"/>
      <protection locked="0"/>
    </xf>
    <xf numFmtId="168" fontId="3" fillId="8" borderId="2" xfId="0" applyNumberFormat="1" applyFont="1" applyFill="1" applyBorder="1" applyAlignment="1" applyProtection="1">
      <alignment horizontal="center" vertical="center"/>
      <protection locked="0"/>
    </xf>
    <xf numFmtId="1" fontId="3" fillId="0" borderId="2" xfId="0" applyNumberFormat="1" applyFont="1" applyBorder="1" applyAlignment="1" applyProtection="1">
      <alignment horizontal="center" vertical="center"/>
      <protection locked="0"/>
    </xf>
    <xf numFmtId="2" fontId="3" fillId="8" borderId="2" xfId="0" applyNumberFormat="1" applyFont="1" applyFill="1" applyBorder="1" applyAlignment="1" applyProtection="1">
      <alignment horizontal="center" vertical="top"/>
      <protection locked="0"/>
    </xf>
    <xf numFmtId="0" fontId="3" fillId="12" borderId="2" xfId="0" applyFont="1" applyFill="1" applyBorder="1" applyAlignment="1" applyProtection="1">
      <alignment horizontal="center" vertical="top" wrapText="1"/>
      <protection locked="0"/>
    </xf>
    <xf numFmtId="2" fontId="3" fillId="12" borderId="2" xfId="0" applyNumberFormat="1" applyFont="1" applyFill="1" applyBorder="1" applyAlignment="1" applyProtection="1">
      <alignment horizontal="center" vertical="top" wrapText="1"/>
      <protection locked="0"/>
    </xf>
    <xf numFmtId="170" fontId="3" fillId="8" borderId="2" xfId="0" applyNumberFormat="1" applyFont="1" applyFill="1" applyBorder="1" applyAlignment="1" applyProtection="1">
      <alignment horizontal="center" vertical="top"/>
      <protection locked="0"/>
    </xf>
    <xf numFmtId="168" fontId="3" fillId="8" borderId="2" xfId="0" applyNumberFormat="1" applyFont="1" applyFill="1" applyBorder="1" applyAlignment="1" applyProtection="1">
      <alignment horizontal="center" vertical="top"/>
      <protection locked="0"/>
    </xf>
    <xf numFmtId="1" fontId="3" fillId="0" borderId="2" xfId="0" applyNumberFormat="1" applyFont="1" applyBorder="1" applyAlignment="1" applyProtection="1">
      <alignment horizontal="center"/>
      <protection locked="0"/>
    </xf>
    <xf numFmtId="1" fontId="3" fillId="0" borderId="2" xfId="0" applyNumberFormat="1" applyFont="1" applyBorder="1" applyAlignment="1" applyProtection="1">
      <alignment horizontal="center" vertical="center" wrapText="1"/>
      <protection locked="0"/>
    </xf>
    <xf numFmtId="0" fontId="13" fillId="0" borderId="1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protection locked="0"/>
    </xf>
    <xf numFmtId="0" fontId="3" fillId="0" borderId="24" xfId="2"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0" borderId="24" xfId="0" applyFont="1" applyBorder="1" applyAlignment="1" applyProtection="1">
      <alignment horizontal="justify" vertical="center"/>
      <protection locked="0"/>
    </xf>
    <xf numFmtId="0" fontId="3" fillId="9" borderId="27" xfId="0" applyFont="1" applyFill="1" applyBorder="1" applyAlignment="1" applyProtection="1">
      <alignment horizontal="left" vertical="center"/>
      <protection locked="0"/>
    </xf>
    <xf numFmtId="1" fontId="13" fillId="10" borderId="28" xfId="0" applyNumberFormat="1" applyFont="1" applyFill="1" applyBorder="1" applyAlignment="1">
      <alignment horizontal="center" vertical="center"/>
    </xf>
    <xf numFmtId="0" fontId="13" fillId="0" borderId="13" xfId="0" applyFont="1" applyBorder="1" applyAlignment="1" applyProtection="1">
      <alignment horizontal="left" wrapText="1"/>
      <protection locked="0"/>
    </xf>
    <xf numFmtId="0" fontId="3" fillId="0" borderId="24" xfId="0" applyFont="1" applyBorder="1" applyAlignment="1" applyProtection="1">
      <alignment horizontal="left" vertical="top"/>
      <protection locked="0"/>
    </xf>
    <xf numFmtId="0" fontId="3" fillId="0" borderId="24" xfId="2"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0" borderId="25" xfId="0" applyFont="1" applyBorder="1" applyAlignment="1" applyProtection="1">
      <alignment horizontal="center" vertical="top" wrapText="1"/>
      <protection locked="0"/>
    </xf>
    <xf numFmtId="0" fontId="3" fillId="0" borderId="24" xfId="0" applyFont="1" applyBorder="1" applyAlignment="1" applyProtection="1">
      <alignment horizontal="justify" vertical="top"/>
      <protection locked="0"/>
    </xf>
    <xf numFmtId="0" fontId="8" fillId="0" borderId="24" xfId="0" applyFont="1" applyBorder="1" applyAlignment="1" applyProtection="1">
      <alignment vertical="center"/>
      <protection locked="0"/>
    </xf>
    <xf numFmtId="0" fontId="3" fillId="9" borderId="27" xfId="0" applyFont="1" applyFill="1" applyBorder="1" applyAlignment="1" applyProtection="1">
      <alignment horizontal="left" vertical="top"/>
      <protection locked="0"/>
    </xf>
    <xf numFmtId="1" fontId="13" fillId="10" borderId="28" xfId="0" applyNumberFormat="1" applyFont="1" applyFill="1" applyBorder="1" applyAlignment="1">
      <alignment horizontal="center" vertical="top"/>
    </xf>
    <xf numFmtId="0" fontId="3" fillId="0" borderId="23" xfId="0" applyFont="1" applyBorder="1" applyAlignment="1" applyProtection="1">
      <alignment horizontal="left" vertical="center" wrapText="1"/>
      <protection locked="0"/>
    </xf>
    <xf numFmtId="0" fontId="3" fillId="0" borderId="25" xfId="0" applyFont="1" applyBorder="1" applyAlignment="1" applyProtection="1">
      <alignment horizontal="left" vertical="center" wrapText="1"/>
      <protection locked="0"/>
    </xf>
    <xf numFmtId="0" fontId="3" fillId="0" borderId="25" xfId="0" applyFont="1" applyBorder="1" applyAlignment="1" applyProtection="1">
      <alignment vertical="center" wrapText="1"/>
      <protection locked="0"/>
    </xf>
    <xf numFmtId="0" fontId="3" fillId="0" borderId="25" xfId="0" applyFont="1" applyBorder="1" applyAlignment="1" applyProtection="1">
      <alignment horizontal="left" vertical="center"/>
      <protection locked="0"/>
    </xf>
    <xf numFmtId="0" fontId="3" fillId="9" borderId="29" xfId="0" applyFont="1" applyFill="1" applyBorder="1" applyAlignment="1" applyProtection="1">
      <alignment horizontal="left" vertical="center"/>
      <protection locked="0"/>
    </xf>
    <xf numFmtId="0" fontId="22" fillId="13" borderId="13" xfId="2" applyFont="1" applyFill="1" applyBorder="1" applyAlignment="1" applyProtection="1">
      <alignment horizontal="left" vertical="center" wrapText="1"/>
      <protection locked="0"/>
    </xf>
    <xf numFmtId="0" fontId="13" fillId="13" borderId="3" xfId="2" applyFont="1" applyFill="1" applyBorder="1" applyAlignment="1" applyProtection="1">
      <alignment horizontal="center" vertical="center" wrapText="1"/>
      <protection locked="0"/>
    </xf>
    <xf numFmtId="0" fontId="3" fillId="12" borderId="2" xfId="2" applyFont="1" applyFill="1" applyBorder="1" applyAlignment="1" applyProtection="1">
      <alignment horizontal="center" vertical="center" wrapText="1"/>
      <protection locked="0"/>
    </xf>
    <xf numFmtId="2" fontId="3" fillId="12" borderId="2" xfId="2" applyNumberFormat="1" applyFont="1" applyFill="1" applyBorder="1" applyAlignment="1" applyProtection="1">
      <alignment horizontal="center" vertical="center" wrapText="1"/>
      <protection locked="0"/>
    </xf>
    <xf numFmtId="2" fontId="3" fillId="8" borderId="2" xfId="2" applyNumberFormat="1" applyFont="1" applyFill="1" applyBorder="1" applyAlignment="1" applyProtection="1">
      <alignment horizontal="center" vertical="center"/>
      <protection locked="0"/>
    </xf>
    <xf numFmtId="170" fontId="3" fillId="8" borderId="2" xfId="2" applyNumberFormat="1" applyFont="1" applyFill="1" applyBorder="1" applyAlignment="1" applyProtection="1">
      <alignment horizontal="center" vertical="center"/>
      <protection locked="0"/>
    </xf>
    <xf numFmtId="168" fontId="3" fillId="8" borderId="2" xfId="2" applyNumberFormat="1" applyFont="1" applyFill="1" applyBorder="1" applyAlignment="1" applyProtection="1">
      <alignment horizontal="center" vertical="center"/>
      <protection locked="0"/>
    </xf>
    <xf numFmtId="167" fontId="3" fillId="13" borderId="2" xfId="2" applyNumberFormat="1" applyFont="1" applyFill="1" applyBorder="1" applyAlignment="1">
      <alignment horizontal="center" vertical="center" wrapText="1"/>
    </xf>
    <xf numFmtId="0" fontId="3" fillId="9" borderId="33" xfId="2" applyFont="1" applyFill="1" applyBorder="1" applyAlignment="1" applyProtection="1">
      <alignment horizontal="left" vertical="center"/>
      <protection locked="0"/>
    </xf>
    <xf numFmtId="164" fontId="13" fillId="10" borderId="5" xfId="2" applyNumberFormat="1" applyFont="1" applyFill="1" applyBorder="1" applyAlignment="1">
      <alignment horizontal="center" vertical="center"/>
    </xf>
    <xf numFmtId="0" fontId="3" fillId="13" borderId="24" xfId="2" applyFont="1" applyFill="1" applyBorder="1" applyAlignment="1" applyProtection="1">
      <alignment horizontal="left" vertical="center" wrapText="1"/>
      <protection locked="0"/>
    </xf>
    <xf numFmtId="0" fontId="3" fillId="13" borderId="24" xfId="2" applyFont="1" applyFill="1" applyBorder="1" applyAlignment="1" applyProtection="1">
      <alignment horizontal="justify" vertical="center"/>
      <protection locked="0"/>
    </xf>
    <xf numFmtId="2" fontId="3" fillId="3" borderId="2" xfId="0" applyNumberFormat="1" applyFont="1" applyFill="1" applyBorder="1" applyAlignment="1" applyProtection="1">
      <alignment horizontal="center" vertical="top"/>
      <protection locked="0"/>
    </xf>
    <xf numFmtId="2" fontId="3" fillId="3" borderId="2" xfId="0" applyNumberFormat="1" applyFont="1" applyFill="1" applyBorder="1" applyAlignment="1" applyProtection="1">
      <alignment horizontal="center" vertical="center"/>
      <protection locked="0"/>
    </xf>
    <xf numFmtId="170" fontId="3" fillId="3" borderId="2" xfId="0" applyNumberFormat="1" applyFont="1" applyFill="1" applyBorder="1" applyAlignment="1" applyProtection="1">
      <alignment horizontal="center" vertical="top"/>
      <protection locked="0"/>
    </xf>
    <xf numFmtId="168" fontId="3" fillId="3" borderId="2" xfId="0" applyNumberFormat="1" applyFont="1" applyFill="1" applyBorder="1" applyAlignment="1" applyProtection="1">
      <alignment horizontal="center" vertical="top"/>
      <protection locked="0"/>
    </xf>
    <xf numFmtId="0" fontId="3" fillId="13" borderId="24" xfId="2" applyFont="1" applyFill="1" applyBorder="1" applyAlignment="1" applyProtection="1">
      <alignment horizontal="left" vertical="top" wrapText="1"/>
      <protection locked="0"/>
    </xf>
    <xf numFmtId="0" fontId="3" fillId="13" borderId="24" xfId="0" applyFont="1" applyFill="1" applyBorder="1" applyAlignment="1" applyProtection="1">
      <alignment horizontal="left" vertical="top" wrapText="1"/>
      <protection locked="0"/>
    </xf>
    <xf numFmtId="0" fontId="3" fillId="13" borderId="24" xfId="0" applyFont="1" applyFill="1" applyBorder="1" applyAlignment="1" applyProtection="1">
      <alignment horizontal="justify" vertical="center"/>
      <protection locked="0"/>
    </xf>
    <xf numFmtId="0" fontId="22" fillId="13" borderId="24" xfId="0" applyFont="1" applyFill="1" applyBorder="1" applyAlignment="1" applyProtection="1">
      <alignment horizontal="left" vertical="center" wrapText="1"/>
      <protection locked="0"/>
    </xf>
    <xf numFmtId="0" fontId="22" fillId="13" borderId="2" xfId="0" applyFont="1" applyFill="1" applyBorder="1" applyAlignment="1" applyProtection="1">
      <alignment horizontal="center" vertical="center" wrapText="1"/>
      <protection locked="0"/>
    </xf>
    <xf numFmtId="0" fontId="3" fillId="13" borderId="24" xfId="0" applyFont="1" applyFill="1" applyBorder="1" applyAlignment="1" applyProtection="1">
      <alignment horizontal="left" vertical="center" wrapText="1"/>
      <protection locked="0"/>
    </xf>
    <xf numFmtId="170" fontId="3" fillId="3" borderId="2" xfId="0" applyNumberFormat="1" applyFont="1" applyFill="1" applyBorder="1" applyAlignment="1" applyProtection="1">
      <alignment horizontal="center" vertical="center"/>
      <protection locked="0"/>
    </xf>
    <xf numFmtId="168" fontId="3" fillId="3" borderId="2" xfId="0" applyNumberFormat="1" applyFont="1" applyFill="1" applyBorder="1" applyAlignment="1" applyProtection="1">
      <alignment horizontal="center" vertical="center"/>
      <protection locked="0"/>
    </xf>
    <xf numFmtId="0" fontId="3" fillId="13" borderId="24" xfId="0" applyFont="1" applyFill="1" applyBorder="1" applyAlignment="1" applyProtection="1">
      <alignment horizontal="left" vertical="center"/>
      <protection locked="0"/>
    </xf>
    <xf numFmtId="0" fontId="3" fillId="9" borderId="27" xfId="2" applyFont="1" applyFill="1" applyBorder="1" applyAlignment="1" applyProtection="1">
      <alignment horizontal="left" vertical="center"/>
      <protection locked="0"/>
    </xf>
    <xf numFmtId="164" fontId="13" fillId="10" borderId="28" xfId="2" applyNumberFormat="1" applyFont="1" applyFill="1" applyBorder="1" applyAlignment="1">
      <alignment horizontal="center" vertical="center"/>
    </xf>
    <xf numFmtId="0" fontId="3" fillId="13" borderId="25" xfId="2" applyFont="1" applyFill="1" applyBorder="1" applyAlignment="1" applyProtection="1">
      <alignment horizontal="left" vertical="center" wrapText="1"/>
      <protection locked="0"/>
    </xf>
    <xf numFmtId="0" fontId="3" fillId="13" borderId="25" xfId="2" applyFont="1" applyFill="1" applyBorder="1" applyAlignment="1" applyProtection="1">
      <alignment horizontal="left" vertical="center"/>
      <protection locked="0"/>
    </xf>
    <xf numFmtId="0" fontId="3" fillId="13" borderId="25" xfId="2" applyFont="1" applyFill="1" applyBorder="1" applyAlignment="1" applyProtection="1">
      <alignment horizontal="center" vertical="center"/>
      <protection locked="0"/>
    </xf>
    <xf numFmtId="0" fontId="3" fillId="0" borderId="25" xfId="2" applyFont="1" applyBorder="1" applyAlignment="1" applyProtection="1">
      <alignment horizontal="left" vertical="center" wrapText="1"/>
      <protection locked="0"/>
    </xf>
    <xf numFmtId="0" fontId="13" fillId="13" borderId="26" xfId="2" applyFont="1" applyFill="1" applyBorder="1" applyAlignment="1" applyProtection="1">
      <alignment vertical="center" wrapText="1"/>
      <protection locked="0"/>
    </xf>
    <xf numFmtId="0" fontId="3" fillId="9" borderId="34" xfId="2" applyFont="1" applyFill="1" applyBorder="1" applyAlignment="1" applyProtection="1">
      <alignment horizontal="left" vertical="center" wrapText="1"/>
      <protection locked="0"/>
    </xf>
    <xf numFmtId="0" fontId="3" fillId="13" borderId="25" xfId="2" applyFont="1" applyFill="1" applyBorder="1" applyAlignment="1" applyProtection="1">
      <alignment vertical="center" wrapText="1"/>
      <protection locked="0"/>
    </xf>
    <xf numFmtId="0" fontId="3" fillId="13" borderId="25" xfId="0" applyFont="1" applyFill="1" applyBorder="1" applyAlignment="1" applyProtection="1">
      <alignment horizontal="left" vertical="center" wrapText="1"/>
      <protection locked="0"/>
    </xf>
    <xf numFmtId="0" fontId="3" fillId="13" borderId="25" xfId="0" applyFont="1" applyFill="1" applyBorder="1" applyAlignment="1" applyProtection="1">
      <alignment horizontal="left" vertical="center"/>
      <protection locked="0"/>
    </xf>
    <xf numFmtId="0" fontId="3" fillId="0" borderId="25" xfId="2" applyFont="1" applyBorder="1" applyAlignment="1" applyProtection="1">
      <alignment vertical="center" wrapText="1"/>
      <protection locked="0"/>
    </xf>
    <xf numFmtId="0" fontId="3" fillId="9" borderId="29" xfId="2" applyFont="1" applyFill="1" applyBorder="1" applyAlignment="1" applyProtection="1">
      <alignment horizontal="left" vertical="center" wrapText="1"/>
      <protection locked="0"/>
    </xf>
    <xf numFmtId="0" fontId="22" fillId="13" borderId="25" xfId="0" applyFont="1" applyFill="1" applyBorder="1" applyAlignment="1" applyProtection="1">
      <alignment horizontal="left" vertical="center" wrapText="1"/>
      <protection locked="0"/>
    </xf>
    <xf numFmtId="0" fontId="3" fillId="13" borderId="25" xfId="2" applyFont="1" applyFill="1" applyBorder="1" applyAlignment="1" applyProtection="1">
      <alignment horizontal="left" vertical="top" wrapText="1"/>
      <protection locked="0"/>
    </xf>
    <xf numFmtId="0" fontId="3" fillId="0" borderId="25" xfId="2" applyFont="1" applyBorder="1" applyAlignment="1" applyProtection="1">
      <alignment horizontal="left" vertical="top" wrapText="1"/>
      <protection locked="0"/>
    </xf>
    <xf numFmtId="0" fontId="22" fillId="13" borderId="13" xfId="0" applyFont="1" applyFill="1" applyBorder="1" applyAlignment="1" applyProtection="1">
      <alignment horizontal="left" vertical="center" wrapText="1"/>
      <protection locked="0"/>
    </xf>
    <xf numFmtId="0" fontId="22" fillId="13" borderId="3" xfId="0" applyFont="1" applyFill="1" applyBorder="1" applyAlignment="1" applyProtection="1">
      <alignment horizontal="center" vertical="center" wrapText="1"/>
      <protection locked="0"/>
    </xf>
    <xf numFmtId="0" fontId="22" fillId="13" borderId="23" xfId="0" applyFont="1" applyFill="1" applyBorder="1" applyAlignment="1" applyProtection="1">
      <alignment horizontal="left" vertical="center" wrapText="1"/>
      <protection locked="0"/>
    </xf>
    <xf numFmtId="0" fontId="7" fillId="0" borderId="0" xfId="0" applyFont="1" applyAlignment="1" applyProtection="1">
      <alignment vertical="center"/>
      <protection locked="0"/>
    </xf>
    <xf numFmtId="0" fontId="3" fillId="13" borderId="3" xfId="0" applyFont="1" applyFill="1" applyBorder="1" applyAlignment="1" applyProtection="1">
      <alignment horizontal="center" vertical="center" wrapText="1"/>
      <protection locked="0"/>
    </xf>
    <xf numFmtId="0" fontId="13" fillId="13" borderId="23" xfId="0" applyFont="1" applyFill="1" applyBorder="1" applyAlignment="1" applyProtection="1">
      <alignment horizontal="left" vertical="center" wrapText="1"/>
      <protection locked="0"/>
    </xf>
    <xf numFmtId="0" fontId="13" fillId="0" borderId="3" xfId="0" applyFont="1" applyBorder="1" applyAlignment="1" applyProtection="1">
      <alignment horizontal="center" vertical="center" wrapText="1"/>
      <protection locked="0"/>
    </xf>
    <xf numFmtId="0" fontId="3" fillId="3" borderId="2" xfId="0" applyFont="1" applyFill="1" applyBorder="1" applyAlignment="1" applyProtection="1">
      <alignment horizontal="center" vertical="center"/>
      <protection locked="0"/>
    </xf>
    <xf numFmtId="0" fontId="22" fillId="0" borderId="13" xfId="0" applyFont="1" applyBorder="1" applyAlignment="1" applyProtection="1">
      <alignment horizontal="left" vertical="center" wrapText="1"/>
      <protection locked="0"/>
    </xf>
    <xf numFmtId="0" fontId="13" fillId="0" borderId="23" xfId="0" applyFont="1" applyBorder="1" applyAlignment="1" applyProtection="1">
      <alignment horizontal="left" vertical="center" wrapText="1"/>
      <protection locked="0"/>
    </xf>
    <xf numFmtId="0" fontId="3" fillId="0" borderId="25" xfId="0" applyFont="1" applyBorder="1" applyAlignment="1" applyProtection="1">
      <alignment vertical="center"/>
      <protection locked="0"/>
    </xf>
    <xf numFmtId="0" fontId="13" fillId="8" borderId="2" xfId="0" applyFont="1" applyFill="1" applyBorder="1" applyAlignment="1" applyProtection="1">
      <alignment horizontal="center" vertical="center"/>
      <protection locked="0"/>
    </xf>
    <xf numFmtId="0" fontId="3" fillId="0" borderId="25" xfId="0" applyFont="1" applyBorder="1" applyAlignment="1" applyProtection="1">
      <alignment horizontal="left" vertical="top" wrapText="1"/>
      <protection locked="0"/>
    </xf>
    <xf numFmtId="0" fontId="3" fillId="0" borderId="25" xfId="0" applyFont="1" applyBorder="1" applyAlignment="1" applyProtection="1">
      <alignment horizontal="left"/>
      <protection locked="0"/>
    </xf>
    <xf numFmtId="0" fontId="22" fillId="0" borderId="3" xfId="0" applyFont="1" applyBorder="1" applyAlignment="1" applyProtection="1">
      <alignment horizontal="center" vertical="center" wrapText="1"/>
      <protection locked="0"/>
    </xf>
    <xf numFmtId="0" fontId="22" fillId="0" borderId="23" xfId="0" applyFont="1" applyBorder="1" applyAlignment="1" applyProtection="1">
      <alignment horizontal="left" vertical="center" wrapText="1"/>
      <protection locked="0"/>
    </xf>
    <xf numFmtId="0" fontId="3" fillId="3" borderId="2" xfId="0" applyFont="1" applyFill="1" applyBorder="1" applyAlignment="1" applyProtection="1">
      <alignment horizontal="center"/>
      <protection locked="0"/>
    </xf>
    <xf numFmtId="0" fontId="13" fillId="0" borderId="23" xfId="0" applyFont="1" applyBorder="1" applyAlignment="1" applyProtection="1">
      <alignment horizontal="left" wrapText="1"/>
      <protection locked="0"/>
    </xf>
    <xf numFmtId="0" fontId="3" fillId="0" borderId="24" xfId="0" applyFont="1" applyBorder="1" applyAlignment="1" applyProtection="1">
      <alignment horizontal="justify"/>
      <protection locked="0"/>
    </xf>
    <xf numFmtId="0" fontId="3" fillId="0" borderId="25" xfId="0" applyFont="1" applyBorder="1" applyProtection="1">
      <protection locked="0"/>
    </xf>
    <xf numFmtId="0" fontId="3" fillId="4" borderId="27" xfId="0" applyFont="1" applyFill="1" applyBorder="1" applyAlignment="1" applyProtection="1">
      <alignment horizontal="left" vertical="top"/>
      <protection locked="0"/>
    </xf>
    <xf numFmtId="169" fontId="13" fillId="7" borderId="28" xfId="0" applyNumberFormat="1" applyFont="1" applyFill="1" applyBorder="1" applyAlignment="1">
      <alignment horizontal="center" vertical="top"/>
    </xf>
    <xf numFmtId="0" fontId="3" fillId="4" borderId="29" xfId="0" applyFont="1" applyFill="1" applyBorder="1" applyAlignment="1" applyProtection="1">
      <alignment horizontal="left" vertical="top" wrapText="1"/>
      <protection locked="0"/>
    </xf>
    <xf numFmtId="0" fontId="3" fillId="4" borderId="27" xfId="0" applyFont="1" applyFill="1" applyBorder="1" applyAlignment="1" applyProtection="1">
      <alignment horizontal="left" vertical="center"/>
      <protection locked="0"/>
    </xf>
    <xf numFmtId="169" fontId="13" fillId="7" borderId="28" xfId="0" applyNumberFormat="1" applyFont="1" applyFill="1" applyBorder="1" applyAlignment="1">
      <alignment horizontal="center" vertical="center"/>
    </xf>
    <xf numFmtId="0" fontId="3" fillId="4" borderId="29" xfId="0" applyFont="1" applyFill="1" applyBorder="1" applyAlignment="1" applyProtection="1">
      <alignment horizontal="left" vertical="center" wrapText="1"/>
      <protection locked="0"/>
    </xf>
    <xf numFmtId="0" fontId="3" fillId="13" borderId="25" xfId="2" applyFont="1" applyFill="1" applyBorder="1" applyAlignment="1" applyProtection="1">
      <alignment vertical="top" wrapText="1"/>
      <protection locked="0"/>
    </xf>
    <xf numFmtId="0" fontId="13" fillId="0" borderId="2" xfId="0" applyFont="1" applyBorder="1" applyAlignment="1" applyProtection="1">
      <alignment horizontal="center" vertical="center" wrapText="1"/>
      <protection locked="0"/>
    </xf>
    <xf numFmtId="169" fontId="13" fillId="7" borderId="2" xfId="0" applyNumberFormat="1" applyFont="1" applyFill="1" applyBorder="1" applyAlignment="1">
      <alignment horizontal="center" vertical="center"/>
    </xf>
    <xf numFmtId="0" fontId="13" fillId="0" borderId="24" xfId="0" applyFont="1" applyBorder="1" applyAlignment="1" applyProtection="1">
      <alignment horizontal="left" vertical="center" wrapText="1"/>
      <protection locked="0"/>
    </xf>
    <xf numFmtId="0" fontId="13" fillId="0" borderId="25" xfId="0" applyFont="1" applyBorder="1" applyAlignment="1" applyProtection="1">
      <alignment horizontal="left" vertical="center" wrapText="1"/>
      <protection locked="0"/>
    </xf>
    <xf numFmtId="0" fontId="3" fillId="13" borderId="25" xfId="2" applyFont="1" applyFill="1" applyBorder="1" applyAlignment="1" applyProtection="1">
      <alignment horizontal="center" vertical="center" wrapText="1"/>
      <protection locked="0"/>
    </xf>
    <xf numFmtId="0" fontId="53" fillId="0" borderId="0" xfId="1" applyFont="1" applyFill="1" applyAlignment="1" applyProtection="1">
      <alignment vertical="center" wrapText="1"/>
    </xf>
    <xf numFmtId="2" fontId="3" fillId="12" borderId="2" xfId="0" applyNumberFormat="1" applyFont="1" applyFill="1" applyBorder="1" applyAlignment="1" applyProtection="1">
      <alignment horizontal="center" vertical="center"/>
      <protection locked="0"/>
    </xf>
    <xf numFmtId="0" fontId="3" fillId="12" borderId="2" xfId="0" applyFont="1" applyFill="1" applyBorder="1" applyAlignment="1" applyProtection="1">
      <alignment horizontal="center" vertical="center"/>
      <protection locked="0"/>
    </xf>
    <xf numFmtId="0" fontId="3" fillId="9" borderId="24" xfId="0" applyFont="1" applyFill="1" applyBorder="1" applyAlignment="1" applyProtection="1">
      <alignment horizontal="left" vertical="center"/>
      <protection locked="0"/>
    </xf>
    <xf numFmtId="0" fontId="3" fillId="9" borderId="25" xfId="0" applyFont="1" applyFill="1" applyBorder="1" applyAlignment="1" applyProtection="1">
      <alignment horizontal="left" vertical="center" wrapText="1"/>
      <protection locked="0"/>
    </xf>
    <xf numFmtId="0" fontId="8" fillId="0" borderId="24" xfId="0" applyFont="1" applyBorder="1" applyAlignment="1">
      <alignment vertical="center"/>
    </xf>
    <xf numFmtId="0" fontId="3" fillId="0" borderId="27" xfId="0" applyFont="1" applyBorder="1" applyAlignment="1" applyProtection="1">
      <alignment horizontal="left" vertical="center" wrapText="1"/>
      <protection locked="0"/>
    </xf>
    <xf numFmtId="2" fontId="3" fillId="16" borderId="28" xfId="0" applyNumberFormat="1" applyFont="1" applyFill="1" applyBorder="1" applyAlignment="1">
      <alignment horizontal="center" vertical="center" wrapText="1"/>
    </xf>
    <xf numFmtId="0" fontId="3" fillId="0" borderId="29" xfId="0" applyFont="1" applyBorder="1" applyAlignment="1" applyProtection="1">
      <alignment horizontal="center" vertical="center" wrapText="1"/>
      <protection locked="0"/>
    </xf>
    <xf numFmtId="167" fontId="3" fillId="12" borderId="2" xfId="0" applyNumberFormat="1" applyFont="1" applyFill="1" applyBorder="1" applyAlignment="1" applyProtection="1">
      <alignment horizontal="center" vertical="center"/>
      <protection locked="0"/>
    </xf>
    <xf numFmtId="169" fontId="22" fillId="7" borderId="2" xfId="0" applyNumberFormat="1" applyFont="1" applyFill="1" applyBorder="1" applyAlignment="1">
      <alignment horizontal="center" vertical="center"/>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wrapText="1"/>
      <protection locked="0"/>
    </xf>
    <xf numFmtId="0" fontId="3" fillId="0" borderId="29" xfId="0" applyFont="1" applyBorder="1" applyAlignment="1" applyProtection="1">
      <alignment horizontal="left" vertical="center" wrapText="1"/>
      <protection locked="0"/>
    </xf>
    <xf numFmtId="168" fontId="3" fillId="12" borderId="2" xfId="0" applyNumberFormat="1" applyFont="1" applyFill="1" applyBorder="1" applyAlignment="1" applyProtection="1">
      <alignment horizontal="center" vertical="center"/>
      <protection locked="0"/>
    </xf>
    <xf numFmtId="1" fontId="3" fillId="3" borderId="2" xfId="0" applyNumberFormat="1" applyFont="1" applyFill="1" applyBorder="1" applyAlignment="1" applyProtection="1">
      <alignment horizontal="center" vertical="center"/>
      <protection locked="0"/>
    </xf>
    <xf numFmtId="2" fontId="13" fillId="7" borderId="2" xfId="0" applyNumberFormat="1" applyFont="1" applyFill="1" applyBorder="1" applyAlignment="1">
      <alignment horizontal="center" vertical="center"/>
    </xf>
    <xf numFmtId="2" fontId="13" fillId="7" borderId="28" xfId="0" applyNumberFormat="1" applyFont="1" applyFill="1" applyBorder="1" applyAlignment="1">
      <alignment horizontal="center" vertical="center"/>
    </xf>
    <xf numFmtId="0" fontId="3" fillId="0" borderId="24" xfId="2" applyFont="1" applyBorder="1" applyAlignment="1" applyProtection="1">
      <alignment horizontal="justify" vertical="center"/>
      <protection locked="0"/>
    </xf>
    <xf numFmtId="0" fontId="3" fillId="0" borderId="25" xfId="2" applyFont="1" applyBorder="1" applyAlignment="1" applyProtection="1">
      <alignment horizontal="center" vertical="center"/>
      <protection locked="0"/>
    </xf>
    <xf numFmtId="0" fontId="13" fillId="0" borderId="13" xfId="2" applyFont="1" applyBorder="1" applyAlignment="1" applyProtection="1">
      <alignment horizontal="left" vertical="center" wrapText="1"/>
      <protection locked="0"/>
    </xf>
    <xf numFmtId="0" fontId="3" fillId="0" borderId="3" xfId="2" applyFont="1" applyBorder="1" applyAlignment="1" applyProtection="1">
      <alignment horizontal="center" vertical="center" wrapText="1"/>
      <protection locked="0"/>
    </xf>
    <xf numFmtId="0" fontId="3" fillId="0" borderId="23" xfId="2" applyFont="1" applyBorder="1" applyAlignment="1" applyProtection="1">
      <alignment vertical="center" wrapText="1"/>
      <protection locked="0"/>
    </xf>
    <xf numFmtId="0" fontId="3" fillId="0" borderId="25" xfId="2" applyFont="1" applyBorder="1" applyAlignment="1" applyProtection="1">
      <alignment horizontal="left" vertical="center"/>
      <protection locked="0"/>
    </xf>
    <xf numFmtId="168" fontId="3" fillId="0" borderId="2" xfId="2" applyNumberFormat="1" applyFont="1" applyBorder="1" applyAlignment="1" applyProtection="1">
      <alignment horizontal="center" vertical="center"/>
      <protection locked="0"/>
    </xf>
    <xf numFmtId="167" fontId="3" fillId="0" borderId="2" xfId="2" applyNumberFormat="1" applyFont="1" applyBorder="1" applyAlignment="1">
      <alignment horizontal="center" vertical="center" wrapText="1"/>
    </xf>
    <xf numFmtId="1" fontId="13" fillId="10" borderId="28" xfId="2" applyNumberFormat="1" applyFont="1" applyFill="1" applyBorder="1" applyAlignment="1">
      <alignment horizontal="center" vertical="center"/>
    </xf>
    <xf numFmtId="168" fontId="3" fillId="0" borderId="2" xfId="0" applyNumberFormat="1" applyFont="1" applyBorder="1" applyAlignment="1" applyProtection="1">
      <alignment horizontal="center" vertical="center"/>
      <protection locked="0"/>
    </xf>
    <xf numFmtId="0" fontId="3" fillId="9" borderId="29" xfId="0" applyFont="1" applyFill="1" applyBorder="1" applyAlignment="1" applyProtection="1">
      <alignment horizontal="left" vertical="center" wrapText="1"/>
      <protection locked="0"/>
    </xf>
    <xf numFmtId="0" fontId="13" fillId="9" borderId="27" xfId="0" applyFont="1" applyFill="1" applyBorder="1" applyAlignment="1" applyProtection="1">
      <alignment horizontal="left" vertical="center"/>
      <protection locked="0"/>
    </xf>
    <xf numFmtId="2" fontId="3" fillId="0" borderId="2" xfId="0" applyNumberFormat="1" applyFont="1" applyBorder="1" applyAlignment="1">
      <alignment horizontal="center" vertical="center" wrapText="1"/>
    </xf>
    <xf numFmtId="0" fontId="13" fillId="0" borderId="12" xfId="0" applyFont="1" applyBorder="1" applyAlignment="1" applyProtection="1">
      <alignment horizontal="left" vertical="center" wrapText="1"/>
      <protection locked="0"/>
    </xf>
    <xf numFmtId="0" fontId="3" fillId="0" borderId="26" xfId="0" applyFont="1" applyBorder="1" applyAlignment="1" applyProtection="1">
      <alignment horizontal="left" vertical="center" wrapText="1"/>
      <protection locked="0"/>
    </xf>
    <xf numFmtId="0" fontId="3" fillId="0" borderId="25" xfId="0" applyFont="1" applyBorder="1" applyAlignment="1" applyProtection="1">
      <alignment horizontal="center" vertical="center" wrapText="1"/>
      <protection locked="0"/>
    </xf>
    <xf numFmtId="0" fontId="46" fillId="0" borderId="3" xfId="0" applyFont="1" applyBorder="1" applyAlignment="1" applyProtection="1">
      <alignment horizontal="left" vertical="center" wrapText="1"/>
      <protection locked="0"/>
    </xf>
    <xf numFmtId="0" fontId="38" fillId="0" borderId="0" xfId="0" applyFont="1" applyAlignment="1" applyProtection="1">
      <alignment vertical="center"/>
      <protection locked="0"/>
    </xf>
    <xf numFmtId="9" fontId="3" fillId="3" borderId="2" xfId="0" applyNumberFormat="1" applyFont="1" applyFill="1" applyBorder="1" applyAlignment="1" applyProtection="1">
      <alignment horizontal="center" vertical="center"/>
      <protection locked="0"/>
    </xf>
    <xf numFmtId="0" fontId="34" fillId="0" borderId="0" xfId="0" applyFont="1" applyAlignment="1" applyProtection="1">
      <alignment vertical="center"/>
      <protection locked="0"/>
    </xf>
    <xf numFmtId="164" fontId="3" fillId="3" borderId="2" xfId="0" applyNumberFormat="1" applyFont="1" applyFill="1" applyBorder="1" applyAlignment="1" applyProtection="1">
      <alignment horizontal="center" vertical="center"/>
      <protection locked="0"/>
    </xf>
    <xf numFmtId="0" fontId="3" fillId="5" borderId="0" xfId="0" applyFont="1" applyFill="1" applyAlignment="1" applyProtection="1">
      <alignment vertical="center"/>
      <protection locked="0"/>
    </xf>
    <xf numFmtId="1" fontId="3" fillId="11" borderId="2" xfId="0" applyNumberFormat="1" applyFont="1" applyFill="1" applyBorder="1" applyAlignment="1" applyProtection="1">
      <alignment horizontal="center" vertical="center" wrapText="1"/>
      <protection locked="0"/>
    </xf>
    <xf numFmtId="0" fontId="3" fillId="6" borderId="0" xfId="0" applyFont="1" applyFill="1" applyAlignment="1" applyProtection="1">
      <alignment vertical="center"/>
      <protection locked="0"/>
    </xf>
    <xf numFmtId="167" fontId="3" fillId="11" borderId="2" xfId="0" applyNumberFormat="1" applyFont="1" applyFill="1" applyBorder="1" applyAlignment="1">
      <alignment horizontal="center" vertical="center" wrapText="1"/>
    </xf>
    <xf numFmtId="0" fontId="3" fillId="2" borderId="0" xfId="0" applyFont="1" applyFill="1" applyAlignment="1" applyProtection="1">
      <alignment vertical="center"/>
      <protection locked="0"/>
    </xf>
    <xf numFmtId="1" fontId="22" fillId="10" borderId="28" xfId="0" applyNumberFormat="1" applyFont="1" applyFill="1" applyBorder="1" applyAlignment="1">
      <alignment horizontal="center" vertical="center"/>
    </xf>
    <xf numFmtId="0" fontId="3" fillId="16" borderId="27" xfId="0" applyFont="1" applyFill="1" applyBorder="1" applyAlignment="1" applyProtection="1">
      <alignment horizontal="left" vertical="center"/>
      <protection locked="0"/>
    </xf>
    <xf numFmtId="1" fontId="13" fillId="15" borderId="28" xfId="0" applyNumberFormat="1" applyFont="1" applyFill="1" applyBorder="1" applyAlignment="1">
      <alignment horizontal="center" vertical="center"/>
    </xf>
    <xf numFmtId="0" fontId="3" fillId="16" borderId="29" xfId="0" applyFont="1" applyFill="1" applyBorder="1" applyAlignment="1" applyProtection="1">
      <alignment horizontal="left" vertical="center" wrapText="1"/>
      <protection locked="0"/>
    </xf>
    <xf numFmtId="0" fontId="13" fillId="0" borderId="0" xfId="0" applyFont="1" applyAlignment="1" applyProtection="1">
      <alignment horizontal="center" vertical="center"/>
      <protection locked="0"/>
    </xf>
    <xf numFmtId="0" fontId="3" fillId="0" borderId="2" xfId="0" applyFont="1" applyBorder="1" applyAlignment="1" applyProtection="1">
      <alignment horizontal="left" vertical="center" wrapText="1"/>
      <protection locked="0"/>
    </xf>
    <xf numFmtId="0" fontId="3" fillId="0" borderId="2" xfId="0" applyFont="1" applyBorder="1" applyAlignment="1" applyProtection="1">
      <alignment horizontal="center" vertical="center" wrapText="1"/>
      <protection locked="0"/>
    </xf>
    <xf numFmtId="1" fontId="13" fillId="0" borderId="2" xfId="0" applyNumberFormat="1" applyFont="1" applyBorder="1" applyAlignment="1" applyProtection="1">
      <alignment horizontal="center" vertical="center"/>
      <protection locked="0"/>
    </xf>
    <xf numFmtId="167" fontId="13" fillId="0" borderId="2" xfId="0" applyNumberFormat="1" applyFont="1" applyBorder="1" applyAlignment="1">
      <alignment horizontal="center" vertical="center" wrapText="1"/>
    </xf>
    <xf numFmtId="0" fontId="13" fillId="16" borderId="27" xfId="0" applyFont="1" applyFill="1" applyBorder="1" applyAlignment="1" applyProtection="1">
      <alignment horizontal="left" vertical="center"/>
      <protection locked="0"/>
    </xf>
    <xf numFmtId="0" fontId="8" fillId="0" borderId="2" xfId="0" applyFont="1" applyBorder="1" applyAlignment="1">
      <alignment vertical="center"/>
    </xf>
    <xf numFmtId="0" fontId="3" fillId="0" borderId="2" xfId="0" applyFont="1" applyBorder="1" applyAlignment="1" applyProtection="1">
      <alignment vertical="center"/>
      <protection locked="0"/>
    </xf>
    <xf numFmtId="2" fontId="3" fillId="16" borderId="2" xfId="0" applyNumberFormat="1" applyFont="1" applyFill="1" applyBorder="1" applyAlignment="1">
      <alignment horizontal="center" vertical="center" wrapText="1"/>
    </xf>
    <xf numFmtId="0" fontId="3" fillId="0" borderId="26" xfId="0" applyFont="1" applyBorder="1" applyAlignment="1" applyProtection="1">
      <alignment horizontal="left" wrapText="1"/>
      <protection locked="0"/>
    </xf>
    <xf numFmtId="0" fontId="3" fillId="9" borderId="29" xfId="0" applyFont="1" applyFill="1" applyBorder="1" applyAlignment="1" applyProtection="1">
      <alignment horizontal="left" vertical="top" wrapText="1"/>
      <protection locked="0"/>
    </xf>
    <xf numFmtId="168" fontId="13" fillId="15" borderId="28" xfId="0" applyNumberFormat="1" applyFont="1" applyFill="1" applyBorder="1" applyAlignment="1">
      <alignment horizontal="center" vertical="center"/>
    </xf>
    <xf numFmtId="170" fontId="13" fillId="15" borderId="28" xfId="0" applyNumberFormat="1" applyFont="1" applyFill="1" applyBorder="1" applyAlignment="1">
      <alignment horizontal="center" vertical="center"/>
    </xf>
    <xf numFmtId="172" fontId="3" fillId="0" borderId="2" xfId="0" applyNumberFormat="1" applyFont="1" applyBorder="1" applyAlignment="1" applyProtection="1">
      <alignment horizontal="center" vertical="center"/>
      <protection locked="0"/>
    </xf>
    <xf numFmtId="1" fontId="3" fillId="8" borderId="2" xfId="0" applyNumberFormat="1" applyFont="1" applyFill="1" applyBorder="1" applyAlignment="1" applyProtection="1">
      <alignment horizontal="center" vertical="center"/>
      <protection locked="0"/>
    </xf>
    <xf numFmtId="0" fontId="3" fillId="9" borderId="35" xfId="0" applyFont="1" applyFill="1" applyBorder="1" applyAlignment="1" applyProtection="1">
      <alignment horizontal="left" vertical="center"/>
      <protection locked="0"/>
    </xf>
    <xf numFmtId="170" fontId="13" fillId="15" borderId="7" xfId="0" applyNumberFormat="1" applyFont="1" applyFill="1" applyBorder="1" applyAlignment="1">
      <alignment horizontal="center" vertical="center"/>
    </xf>
    <xf numFmtId="0" fontId="3" fillId="9" borderId="36" xfId="0" applyFont="1" applyFill="1" applyBorder="1" applyAlignment="1" applyProtection="1">
      <alignment horizontal="left" vertical="center" wrapText="1"/>
      <protection locked="0"/>
    </xf>
    <xf numFmtId="0" fontId="3" fillId="11" borderId="27" xfId="0" applyFont="1" applyFill="1" applyBorder="1" applyAlignment="1" applyProtection="1">
      <alignment horizontal="left" vertical="center"/>
      <protection locked="0"/>
    </xf>
    <xf numFmtId="0" fontId="3" fillId="11" borderId="29" xfId="0" applyFont="1" applyFill="1" applyBorder="1" applyAlignment="1" applyProtection="1">
      <alignment vertical="center"/>
      <protection locked="0"/>
    </xf>
    <xf numFmtId="1" fontId="13" fillId="17" borderId="28" xfId="0" applyNumberFormat="1" applyFont="1" applyFill="1" applyBorder="1" applyAlignment="1" applyProtection="1">
      <alignment horizontal="center" vertical="center"/>
      <protection locked="0"/>
    </xf>
    <xf numFmtId="0" fontId="3" fillId="0" borderId="12" xfId="0" applyFont="1" applyBorder="1" applyAlignment="1" applyProtection="1">
      <alignment horizontal="left" vertical="center"/>
      <protection locked="0"/>
    </xf>
    <xf numFmtId="0" fontId="3" fillId="0" borderId="12" xfId="2" applyFont="1" applyBorder="1" applyAlignment="1" applyProtection="1">
      <alignment horizontal="left" vertical="center" wrapText="1"/>
      <protection locked="0"/>
    </xf>
    <xf numFmtId="0" fontId="3" fillId="0" borderId="12" xfId="0" applyFont="1" applyBorder="1" applyAlignment="1" applyProtection="1">
      <alignment horizontal="left" vertical="center" wrapText="1"/>
      <protection locked="0"/>
    </xf>
    <xf numFmtId="0" fontId="3" fillId="0" borderId="12" xfId="0" applyFont="1" applyBorder="1" applyAlignment="1" applyProtection="1">
      <alignment horizontal="justify" vertical="center"/>
      <protection locked="0"/>
    </xf>
    <xf numFmtId="0" fontId="3" fillId="16" borderId="37" xfId="0" applyFont="1" applyFill="1" applyBorder="1" applyAlignment="1" applyProtection="1">
      <alignment horizontal="left" vertical="center"/>
      <protection locked="0"/>
    </xf>
    <xf numFmtId="0" fontId="3" fillId="0" borderId="26" xfId="0" applyFont="1" applyBorder="1" applyAlignment="1" applyProtection="1">
      <alignment horizontal="center" vertical="center" wrapText="1"/>
      <protection locked="0"/>
    </xf>
    <xf numFmtId="0" fontId="3" fillId="0" borderId="26" xfId="0" applyFont="1" applyBorder="1" applyAlignment="1" applyProtection="1">
      <alignment horizontal="left" vertical="center"/>
      <protection locked="0"/>
    </xf>
    <xf numFmtId="0" fontId="3" fillId="0" borderId="26" xfId="0" applyFont="1" applyBorder="1" applyAlignment="1" applyProtection="1">
      <alignment vertical="center" wrapText="1"/>
      <protection locked="0"/>
    </xf>
    <xf numFmtId="0" fontId="3" fillId="16" borderId="38" xfId="0" applyFont="1" applyFill="1" applyBorder="1" applyAlignment="1" applyProtection="1">
      <alignment horizontal="left" vertical="center" wrapText="1"/>
      <protection locked="0"/>
    </xf>
    <xf numFmtId="0" fontId="3" fillId="9" borderId="37" xfId="0" applyFont="1" applyFill="1" applyBorder="1" applyAlignment="1" applyProtection="1">
      <alignment horizontal="left" vertical="center"/>
      <protection locked="0"/>
    </xf>
    <xf numFmtId="0" fontId="3" fillId="9" borderId="38" xfId="0" applyFont="1" applyFill="1" applyBorder="1" applyAlignment="1" applyProtection="1">
      <alignment horizontal="left" vertical="center" wrapText="1"/>
      <protection locked="0"/>
    </xf>
    <xf numFmtId="170" fontId="13" fillId="10" borderId="28" xfId="0" applyNumberFormat="1" applyFont="1" applyFill="1" applyBorder="1" applyAlignment="1">
      <alignment horizontal="center" vertical="top"/>
    </xf>
    <xf numFmtId="0" fontId="8" fillId="0" borderId="12" xfId="0" applyFont="1" applyBorder="1" applyAlignment="1" applyProtection="1">
      <alignment vertical="center"/>
      <protection locked="0"/>
    </xf>
    <xf numFmtId="2" fontId="3" fillId="12" borderId="2" xfId="0" applyNumberFormat="1" applyFont="1" applyFill="1" applyBorder="1" applyAlignment="1" applyProtection="1">
      <alignment horizontal="center" vertical="top"/>
      <protection locked="0"/>
    </xf>
    <xf numFmtId="172" fontId="3" fillId="0" borderId="2" xfId="0" applyNumberFormat="1" applyFont="1" applyBorder="1" applyAlignment="1" applyProtection="1">
      <alignment horizontal="center"/>
      <protection locked="0"/>
    </xf>
    <xf numFmtId="170" fontId="13" fillId="15" borderId="28" xfId="0" applyNumberFormat="1" applyFont="1" applyFill="1" applyBorder="1" applyAlignment="1">
      <alignment horizontal="center" vertical="top"/>
    </xf>
    <xf numFmtId="0" fontId="51" fillId="0" borderId="0" xfId="0" applyFont="1" applyAlignment="1">
      <alignment horizontal="left" vertical="center" wrapText="1"/>
    </xf>
    <xf numFmtId="0" fontId="51" fillId="0" borderId="0" xfId="0" applyFont="1" applyAlignment="1">
      <alignment vertical="center" wrapText="1"/>
    </xf>
    <xf numFmtId="0" fontId="51" fillId="0" borderId="2" xfId="0" applyFont="1" applyBorder="1" applyAlignment="1">
      <alignment horizontal="center" vertical="center" wrapText="1"/>
    </xf>
    <xf numFmtId="0" fontId="51" fillId="0" borderId="2" xfId="0" applyFont="1" applyBorder="1" applyAlignment="1">
      <alignment vertical="center" wrapText="1"/>
    </xf>
    <xf numFmtId="14" fontId="51" fillId="0" borderId="2" xfId="0" applyNumberFormat="1" applyFont="1" applyBorder="1" applyAlignment="1">
      <alignment horizontal="center" vertical="center" wrapText="1"/>
    </xf>
    <xf numFmtId="0" fontId="51" fillId="0" borderId="0" xfId="0" applyFont="1" applyAlignment="1">
      <alignment horizontal="center" vertical="center" wrapText="1"/>
    </xf>
    <xf numFmtId="0" fontId="39" fillId="0" borderId="0" xfId="0" applyFont="1" applyAlignment="1">
      <alignment horizontal="left" vertical="top" wrapText="1"/>
    </xf>
    <xf numFmtId="0" fontId="11" fillId="0" borderId="0" xfId="0" applyFont="1" applyAlignment="1">
      <alignment horizontal="left" vertical="top" wrapText="1"/>
    </xf>
    <xf numFmtId="0" fontId="0" fillId="0" borderId="0" xfId="0" applyAlignment="1">
      <alignment horizontal="center"/>
    </xf>
    <xf numFmtId="0" fontId="47" fillId="0" borderId="0" xfId="0" applyFont="1" applyAlignment="1">
      <alignment horizontal="center" wrapText="1"/>
    </xf>
    <xf numFmtId="0" fontId="23" fillId="0" borderId="7" xfId="2" applyFont="1" applyBorder="1" applyAlignment="1">
      <alignment horizontal="center" vertical="center" wrapText="1"/>
    </xf>
    <xf numFmtId="0" fontId="23" fillId="0" borderId="11" xfId="2" applyFont="1" applyBorder="1" applyAlignment="1">
      <alignment horizontal="center" vertical="center" wrapText="1"/>
    </xf>
    <xf numFmtId="0" fontId="23" fillId="0" borderId="6" xfId="2" applyFont="1" applyBorder="1" applyAlignment="1">
      <alignment horizontal="center" vertical="center" wrapText="1"/>
    </xf>
    <xf numFmtId="0" fontId="23" fillId="0" borderId="7" xfId="2" applyFont="1" applyBorder="1" applyAlignment="1">
      <alignment horizontal="center" wrapText="1"/>
    </xf>
    <xf numFmtId="0" fontId="23" fillId="0" borderId="6" xfId="2" applyFont="1" applyBorder="1" applyAlignment="1">
      <alignment horizontal="center" wrapText="1"/>
    </xf>
    <xf numFmtId="0" fontId="30" fillId="0" borderId="8" xfId="2" applyFont="1" applyBorder="1" applyAlignment="1">
      <alignment horizontal="center" vertical="center" wrapText="1"/>
    </xf>
    <xf numFmtId="49" fontId="23" fillId="0" borderId="1" xfId="2" applyNumberFormat="1" applyFont="1" applyBorder="1" applyAlignment="1">
      <alignment horizontal="center" vertical="center" wrapText="1"/>
    </xf>
    <xf numFmtId="49" fontId="23" fillId="0" borderId="10" xfId="2" applyNumberFormat="1" applyFont="1" applyBorder="1" applyAlignment="1">
      <alignment horizontal="center" vertical="center" wrapText="1"/>
    </xf>
    <xf numFmtId="0" fontId="23" fillId="0" borderId="7" xfId="2" applyFont="1" applyBorder="1" applyAlignment="1">
      <alignment horizontal="left" vertical="top" wrapText="1"/>
    </xf>
    <xf numFmtId="0" fontId="23" fillId="0" borderId="11" xfId="2" applyFont="1" applyBorder="1" applyAlignment="1">
      <alignment horizontal="left" vertical="top" wrapText="1"/>
    </xf>
    <xf numFmtId="0" fontId="23" fillId="0" borderId="6" xfId="2" applyFont="1" applyBorder="1" applyAlignment="1">
      <alignment horizontal="left" vertical="top" wrapText="1"/>
    </xf>
    <xf numFmtId="0" fontId="23" fillId="0" borderId="15" xfId="2" applyFont="1" applyBorder="1" applyAlignment="1">
      <alignment horizontal="center" vertical="center" wrapText="1"/>
    </xf>
    <xf numFmtId="0" fontId="23" fillId="0" borderId="16" xfId="2" applyFont="1" applyBorder="1" applyAlignment="1">
      <alignment horizontal="center" vertical="center" wrapText="1"/>
    </xf>
    <xf numFmtId="0" fontId="23" fillId="0" borderId="14" xfId="2" applyFont="1" applyBorder="1" applyAlignment="1">
      <alignment horizontal="center" vertical="center" wrapText="1"/>
    </xf>
    <xf numFmtId="0" fontId="22" fillId="13" borderId="30" xfId="2" applyFont="1" applyFill="1" applyBorder="1" applyAlignment="1" applyProtection="1">
      <alignment horizontal="left" vertical="center" wrapText="1"/>
      <protection locked="0"/>
    </xf>
    <xf numFmtId="0" fontId="22" fillId="13" borderId="31" xfId="2" applyFont="1" applyFill="1" applyBorder="1" applyAlignment="1" applyProtection="1">
      <alignment horizontal="left" vertical="center" wrapText="1"/>
      <protection locked="0"/>
    </xf>
    <xf numFmtId="0" fontId="22" fillId="13" borderId="32" xfId="2" applyFont="1" applyFill="1" applyBorder="1" applyAlignment="1" applyProtection="1">
      <alignment horizontal="left" vertical="center" wrapText="1"/>
      <protection locked="0"/>
    </xf>
    <xf numFmtId="0" fontId="3" fillId="12" borderId="0" xfId="2" applyFont="1" applyFill="1" applyAlignment="1" applyProtection="1">
      <alignment horizontal="left" vertical="center"/>
      <protection locked="0"/>
    </xf>
    <xf numFmtId="0" fontId="3" fillId="12" borderId="0" xfId="0" applyFont="1" applyFill="1" applyAlignment="1" applyProtection="1">
      <alignment horizontal="left"/>
      <protection locked="0"/>
    </xf>
    <xf numFmtId="0" fontId="22" fillId="13" borderId="30" xfId="0" applyFont="1" applyFill="1" applyBorder="1" applyAlignment="1" applyProtection="1">
      <alignment vertical="center" wrapText="1"/>
      <protection locked="0"/>
    </xf>
    <xf numFmtId="0" fontId="22" fillId="13" borderId="31" xfId="0" applyFont="1" applyFill="1" applyBorder="1" applyAlignment="1" applyProtection="1">
      <alignment vertical="center" wrapText="1"/>
      <protection locked="0"/>
    </xf>
    <xf numFmtId="0" fontId="22" fillId="13" borderId="32" xfId="0" applyFont="1" applyFill="1" applyBorder="1" applyAlignment="1" applyProtection="1">
      <alignment vertical="center" wrapText="1"/>
      <protection locked="0"/>
    </xf>
    <xf numFmtId="0" fontId="22" fillId="13" borderId="30" xfId="0" applyFont="1" applyFill="1" applyBorder="1" applyAlignment="1" applyProtection="1">
      <alignment horizontal="left" vertical="center" wrapText="1"/>
      <protection locked="0"/>
    </xf>
    <xf numFmtId="0" fontId="22" fillId="13" borderId="31" xfId="0" applyFont="1" applyFill="1" applyBorder="1" applyAlignment="1" applyProtection="1">
      <alignment horizontal="left" vertical="center" wrapText="1"/>
      <protection locked="0"/>
    </xf>
    <xf numFmtId="0" fontId="22" fillId="13" borderId="32" xfId="0" applyFont="1" applyFill="1" applyBorder="1" applyAlignment="1" applyProtection="1">
      <alignment horizontal="left" vertical="center" wrapText="1"/>
      <protection locked="0"/>
    </xf>
    <xf numFmtId="0" fontId="22" fillId="0" borderId="30" xfId="0" applyFont="1" applyBorder="1" applyAlignment="1" applyProtection="1">
      <alignment horizontal="left" vertical="center" wrapText="1"/>
      <protection locked="0"/>
    </xf>
    <xf numFmtId="0" fontId="22" fillId="0" borderId="31" xfId="0" applyFont="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13" fillId="0" borderId="30" xfId="0" applyFont="1" applyBorder="1" applyAlignment="1" applyProtection="1">
      <alignment vertical="center" wrapText="1"/>
      <protection locked="0"/>
    </xf>
    <xf numFmtId="0" fontId="13" fillId="0" borderId="31" xfId="0" applyFont="1" applyBorder="1" applyAlignment="1" applyProtection="1">
      <alignment vertical="center" wrapText="1"/>
      <protection locked="0"/>
    </xf>
    <xf numFmtId="0" fontId="13" fillId="0" borderId="32" xfId="0" applyFont="1" applyBorder="1" applyAlignment="1" applyProtection="1">
      <alignment vertical="center" wrapText="1"/>
      <protection locked="0"/>
    </xf>
    <xf numFmtId="0" fontId="13" fillId="0" borderId="30" xfId="0" applyFont="1" applyBorder="1" applyAlignment="1" applyProtection="1">
      <alignment horizontal="left" vertical="center" wrapText="1"/>
      <protection locked="0"/>
    </xf>
    <xf numFmtId="0" fontId="13" fillId="0" borderId="31" xfId="0" applyFont="1" applyBorder="1" applyAlignment="1" applyProtection="1">
      <alignment horizontal="left" vertical="center" wrapText="1"/>
      <protection locked="0"/>
    </xf>
    <xf numFmtId="0" fontId="13" fillId="0" borderId="32" xfId="0" applyFont="1" applyBorder="1" applyAlignment="1" applyProtection="1">
      <alignment horizontal="left" vertical="center" wrapText="1"/>
      <protection locked="0"/>
    </xf>
    <xf numFmtId="0" fontId="13" fillId="0" borderId="20" xfId="0" applyFont="1" applyBorder="1" applyAlignment="1" applyProtection="1">
      <alignment horizontal="left" vertical="center" wrapText="1"/>
      <protection locked="0"/>
    </xf>
    <xf numFmtId="0" fontId="13" fillId="0" borderId="21" xfId="0" applyFont="1" applyBorder="1" applyAlignment="1" applyProtection="1">
      <alignment horizontal="left" vertical="center" wrapText="1"/>
      <protection locked="0"/>
    </xf>
    <xf numFmtId="0" fontId="13" fillId="0" borderId="22" xfId="0" applyFont="1" applyBorder="1" applyAlignment="1" applyProtection="1">
      <alignment horizontal="left" vertical="center" wrapText="1"/>
      <protection locked="0"/>
    </xf>
    <xf numFmtId="0" fontId="3" fillId="12" borderId="0" xfId="0" applyFont="1" applyFill="1" applyAlignment="1" applyProtection="1">
      <alignment horizontal="left" vertical="top" wrapText="1"/>
      <protection locked="0"/>
    </xf>
    <xf numFmtId="0" fontId="13" fillId="0" borderId="30" xfId="2" applyFont="1" applyBorder="1" applyAlignment="1" applyProtection="1">
      <alignment horizontal="left" vertical="center" wrapText="1"/>
      <protection locked="0"/>
    </xf>
    <xf numFmtId="0" fontId="13" fillId="0" borderId="31" xfId="2" applyFont="1" applyBorder="1" applyAlignment="1" applyProtection="1">
      <alignment horizontal="left" vertical="center" wrapText="1"/>
      <protection locked="0"/>
    </xf>
    <xf numFmtId="0" fontId="13" fillId="0" borderId="32" xfId="2" applyFont="1" applyBorder="1" applyAlignment="1" applyProtection="1">
      <alignment horizontal="left" vertical="center" wrapText="1"/>
      <protection locked="0"/>
    </xf>
    <xf numFmtId="0" fontId="3" fillId="12" borderId="0" xfId="0" applyFont="1" applyFill="1" applyAlignment="1" applyProtection="1">
      <alignment horizontal="left" vertical="center" wrapText="1"/>
      <protection locked="0"/>
    </xf>
    <xf numFmtId="0" fontId="13" fillId="0" borderId="0" xfId="0" applyFont="1" applyAlignment="1" applyProtection="1">
      <alignment horizontal="left" wrapText="1"/>
      <protection locked="0"/>
    </xf>
    <xf numFmtId="0" fontId="8" fillId="0" borderId="0" xfId="0" applyFont="1" applyAlignment="1">
      <alignment horizontal="left" wrapText="1"/>
    </xf>
    <xf numFmtId="0" fontId="42" fillId="0" borderId="17" xfId="0" applyFont="1" applyBorder="1" applyAlignment="1">
      <alignment horizontal="center" vertical="top"/>
    </xf>
    <xf numFmtId="0" fontId="10" fillId="0" borderId="3" xfId="0" applyFont="1" applyBorder="1" applyAlignment="1">
      <alignment horizontal="center" vertical="top"/>
    </xf>
    <xf numFmtId="0" fontId="10" fillId="0" borderId="15" xfId="0" applyFont="1" applyBorder="1" applyAlignment="1">
      <alignment horizontal="center" vertical="top"/>
    </xf>
    <xf numFmtId="0" fontId="10" fillId="0" borderId="19" xfId="0" applyFont="1" applyBorder="1" applyAlignment="1">
      <alignment horizontal="center" vertical="top"/>
    </xf>
    <xf numFmtId="0" fontId="10" fillId="0" borderId="0" xfId="0" applyFont="1" applyAlignment="1">
      <alignment horizontal="center" vertical="top"/>
    </xf>
    <xf numFmtId="0" fontId="10" fillId="0" borderId="16" xfId="0" applyFont="1" applyBorder="1" applyAlignment="1">
      <alignment horizontal="center" vertical="top"/>
    </xf>
    <xf numFmtId="0" fontId="10" fillId="0" borderId="18" xfId="0" applyFont="1" applyBorder="1" applyAlignment="1">
      <alignment horizontal="center" vertical="top"/>
    </xf>
    <xf numFmtId="0" fontId="10" fillId="0" borderId="8" xfId="0" applyFont="1" applyBorder="1" applyAlignment="1">
      <alignment horizontal="center" vertical="top"/>
    </xf>
    <xf numFmtId="0" fontId="10" fillId="0" borderId="14" xfId="0" applyFont="1" applyBorder="1" applyAlignment="1">
      <alignment horizontal="center" vertical="top"/>
    </xf>
    <xf numFmtId="0" fontId="42" fillId="0" borderId="0" xfId="0" applyFont="1" applyAlignment="1">
      <alignment horizontal="center" vertical="top"/>
    </xf>
    <xf numFmtId="0" fontId="17" fillId="0" borderId="17" xfId="0" applyFont="1" applyBorder="1" applyAlignment="1">
      <alignment horizontal="center" vertical="top"/>
    </xf>
    <xf numFmtId="0" fontId="12" fillId="0" borderId="17" xfId="0" applyFont="1" applyBorder="1" applyAlignment="1">
      <alignment horizontal="center" vertical="top"/>
    </xf>
  </cellXfs>
  <cellStyles count="3">
    <cellStyle name="Hyperlink" xfId="1" builtinId="8"/>
    <cellStyle name="Normal" xfId="0" builtinId="0"/>
    <cellStyle name="Normal 2" xfId="2" xr:uid="{00000000-0005-0000-0000-000002000000}"/>
  </cellStyles>
  <dxfs count="0"/>
  <tableStyles count="0" defaultTableStyle="TableStyleMedium9" defaultPivotStyle="PivotStyleLight16"/>
  <colors>
    <mruColors>
      <color rgb="FF0AFA77"/>
      <color rgb="FFFFFFCC"/>
      <color rgb="FFDFFBD5"/>
      <color rgb="FFCCFFCC"/>
      <color rgb="FFDBF57D"/>
      <color rgb="FFC0FA77"/>
      <color rgb="FFC0E7B9"/>
      <color rgb="FF05FF76"/>
      <color rgb="FF0000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Contents!A1"/><Relationship Id="rId1" Type="http://schemas.openxmlformats.org/officeDocument/2006/relationships/hyperlink" Target="#'step 1'!A1"/></Relationships>
</file>

<file path=xl/drawings/_rels/drawing2.xml.rels><?xml version="1.0" encoding="UTF-8" standalone="yes"?>
<Relationships xmlns="http://schemas.openxmlformats.org/package/2006/relationships"><Relationship Id="rId1" Type="http://schemas.openxmlformats.org/officeDocument/2006/relationships/hyperlink" Target="#INTRO!A1"/></Relationships>
</file>

<file path=xl/drawings/_rels/drawing3.xml.rels><?xml version="1.0" encoding="UTF-8" standalone="yes"?>
<Relationships xmlns="http://schemas.openxmlformats.org/package/2006/relationships"><Relationship Id="rId1" Type="http://schemas.openxmlformats.org/officeDocument/2006/relationships/hyperlink" Target="#INTRO!A1"/></Relationships>
</file>

<file path=xl/drawings/_rels/drawing4.xml.rels><?xml version="1.0" encoding="UTF-8" standalone="yes"?>
<Relationships xmlns="http://schemas.openxmlformats.org/package/2006/relationships"><Relationship Id="rId1" Type="http://schemas.openxmlformats.org/officeDocument/2006/relationships/hyperlink" Target="#INTRO!A1"/></Relationships>
</file>

<file path=xl/drawings/_rels/drawing5.xml.rels><?xml version="1.0" encoding="UTF-8" standalone="yes"?>
<Relationships xmlns="http://schemas.openxmlformats.org/package/2006/relationships"><Relationship Id="rId1" Type="http://schemas.openxmlformats.org/officeDocument/2006/relationships/hyperlink" Target="#INTRO!A1"/></Relationships>
</file>

<file path=xl/drawings/_rels/drawing6.xml.rels><?xml version="1.0" encoding="UTF-8" standalone="yes"?>
<Relationships xmlns="http://schemas.openxmlformats.org/package/2006/relationships"><Relationship Id="rId1" Type="http://schemas.openxmlformats.org/officeDocument/2006/relationships/hyperlink" Target="#INTRO!A1"/></Relationships>
</file>

<file path=xl/drawings/_rels/drawing7.xml.rels><?xml version="1.0" encoding="UTF-8" standalone="yes"?>
<Relationships xmlns="http://schemas.openxmlformats.org/package/2006/relationships"><Relationship Id="rId1" Type="http://schemas.openxmlformats.org/officeDocument/2006/relationships/hyperlink" Target="#INTRO!A1"/></Relationships>
</file>

<file path=xl/drawings/_rels/drawing8.xml.rels><?xml version="1.0" encoding="UTF-8" standalone="yes"?>
<Relationships xmlns="http://schemas.openxmlformats.org/package/2006/relationships"><Relationship Id="rId1" Type="http://schemas.openxmlformats.org/officeDocument/2006/relationships/hyperlink" Target="#INTRO!A1"/></Relationships>
</file>

<file path=xl/drawings/_rels/drawing9.xml.rels><?xml version="1.0" encoding="UTF-8" standalone="yes"?>
<Relationships xmlns="http://schemas.openxmlformats.org/package/2006/relationships"><Relationship Id="rId1" Type="http://schemas.openxmlformats.org/officeDocument/2006/relationships/hyperlink" Target="#INTRO!A1"/></Relationships>
</file>

<file path=xl/drawings/_rels/drawing10.xml.rels><?xml version="1.0" encoding="UTF-8" standalone="yes"?>
<Relationships xmlns="http://schemas.openxmlformats.org/package/2006/relationships"><Relationship Id="rId1" Type="http://schemas.openxmlformats.org/officeDocument/2006/relationships/hyperlink" Target="#INTRO!A1"/></Relationships>
</file>

<file path=xl/drawings/_rels/drawing11.xml.rels><?xml version="1.0" encoding="UTF-8" standalone="yes"?>
<Relationships xmlns="http://schemas.openxmlformats.org/package/2006/relationships"><Relationship Id="rId1" Type="http://schemas.openxmlformats.org/officeDocument/2006/relationships/hyperlink" Target="#INTRO!A1"/></Relationships>
</file>

<file path=xl/drawings/_rels/drawing12.xml.rels><?xml version="1.0" encoding="UTF-8" standalone="yes"?>
<Relationships xmlns="http://schemas.openxmlformats.org/package/2006/relationships"><Relationship Id="rId1" Type="http://schemas.openxmlformats.org/officeDocument/2006/relationships/hyperlink" Target="#INTRO!A1"/></Relationships>
</file>

<file path=xl/drawings/_rels/drawing13.xml.rels><?xml version="1.0" encoding="UTF-8" standalone="yes"?>
<Relationships xmlns="http://schemas.openxmlformats.org/package/2006/relationships"><Relationship Id="rId1" Type="http://schemas.openxmlformats.org/officeDocument/2006/relationships/hyperlink" Target="#INTRO!A1"/></Relationships>
</file>

<file path=xl/drawings/_rels/drawing14.xml.rels><?xml version="1.0" encoding="UTF-8" standalone="yes"?>
<Relationships xmlns="http://schemas.openxmlformats.org/package/2006/relationships"><Relationship Id="rId1" Type="http://schemas.openxmlformats.org/officeDocument/2006/relationships/hyperlink" Target="#INTRO!A1"/></Relationships>
</file>

<file path=xl/drawings/_rels/drawing15.xml.rels><?xml version="1.0" encoding="UTF-8" standalone="yes"?>
<Relationships xmlns="http://schemas.openxmlformats.org/package/2006/relationships"><Relationship Id="rId1" Type="http://schemas.openxmlformats.org/officeDocument/2006/relationships/hyperlink" Target="#INTRO!A1"/></Relationships>
</file>

<file path=xl/drawings/_rels/drawing16.xml.rels><?xml version="1.0" encoding="UTF-8" standalone="yes"?>
<Relationships xmlns="http://schemas.openxmlformats.org/package/2006/relationships"><Relationship Id="rId3" Type="http://schemas.openxmlformats.org/officeDocument/2006/relationships/image" Target="../media/image13.wmf"/><Relationship Id="rId2" Type="http://schemas.openxmlformats.org/officeDocument/2006/relationships/hyperlink" Target="#INTRO!A1"/><Relationship Id="rId1" Type="http://schemas.openxmlformats.org/officeDocument/2006/relationships/hyperlink" Target="#'step 4d'!A1"/></Relationships>
</file>

<file path=xl/drawings/_rels/drawing17.xml.rels><?xml version="1.0" encoding="UTF-8" standalone="yes"?>
<Relationships xmlns="http://schemas.openxmlformats.org/package/2006/relationships"><Relationship Id="rId3" Type="http://schemas.openxmlformats.org/officeDocument/2006/relationships/image" Target="../media/image13.wmf"/><Relationship Id="rId2" Type="http://schemas.openxmlformats.org/officeDocument/2006/relationships/hyperlink" Target="#INTRO!A1"/><Relationship Id="rId1" Type="http://schemas.openxmlformats.org/officeDocument/2006/relationships/hyperlink" Target="#'step 4d'!A1"/></Relationships>
</file>

<file path=xl/drawings/_rels/drawing18.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19.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20.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21.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22.xml.rels><?xml version="1.0" encoding="UTF-8" standalone="yes"?>
<Relationships xmlns="http://schemas.openxmlformats.org/package/2006/relationships"><Relationship Id="rId1" Type="http://schemas.openxmlformats.org/officeDocument/2006/relationships/hyperlink" Target="#INTRO!A1"/></Relationships>
</file>

<file path=xl/drawings/_rels/drawing23.xml.rels><?xml version="1.0" encoding="UTF-8" standalone="yes"?>
<Relationships xmlns="http://schemas.openxmlformats.org/package/2006/relationships"><Relationship Id="rId1" Type="http://schemas.openxmlformats.org/officeDocument/2006/relationships/hyperlink" Target="#INTRO!A1"/></Relationships>
</file>

<file path=xl/drawings/_rels/drawing24.xml.rels><?xml version="1.0" encoding="UTF-8" standalone="yes"?>
<Relationships xmlns="http://schemas.openxmlformats.org/package/2006/relationships"><Relationship Id="rId1" Type="http://schemas.openxmlformats.org/officeDocument/2006/relationships/hyperlink" Target="#INTRO!A1"/></Relationships>
</file>

<file path=xl/drawings/_rels/drawing25.xml.rels><?xml version="1.0" encoding="UTF-8" standalone="yes"?>
<Relationships xmlns="http://schemas.openxmlformats.org/package/2006/relationships"><Relationship Id="rId1" Type="http://schemas.openxmlformats.org/officeDocument/2006/relationships/hyperlink" Target="#INTRO!A1"/></Relationships>
</file>

<file path=xl/drawings/_rels/drawing26.xml.rels><?xml version="1.0" encoding="UTF-8" standalone="yes"?>
<Relationships xmlns="http://schemas.openxmlformats.org/package/2006/relationships"><Relationship Id="rId1" Type="http://schemas.openxmlformats.org/officeDocument/2006/relationships/hyperlink" Target="#INTRO!A1"/></Relationships>
</file>

<file path=xl/drawings/_rels/drawing27.xml.rels><?xml version="1.0" encoding="UTF-8" standalone="yes"?>
<Relationships xmlns="http://schemas.openxmlformats.org/package/2006/relationships"><Relationship Id="rId1" Type="http://schemas.openxmlformats.org/officeDocument/2006/relationships/hyperlink" Target="#INTRO!A1"/></Relationships>
</file>

<file path=xl/drawings/_rels/drawing28.xml.rels><?xml version="1.0" encoding="UTF-8" standalone="yes"?>
<Relationships xmlns="http://schemas.openxmlformats.org/package/2006/relationships"><Relationship Id="rId1" Type="http://schemas.openxmlformats.org/officeDocument/2006/relationships/hyperlink" Target="#INTRO!A1"/></Relationships>
</file>

<file path=xl/drawings/_rels/drawing29.xml.rels><?xml version="1.0" encoding="UTF-8" standalone="yes"?>
<Relationships xmlns="http://schemas.openxmlformats.org/package/2006/relationships"><Relationship Id="rId1" Type="http://schemas.openxmlformats.org/officeDocument/2006/relationships/hyperlink" Target="#INTRO!A1"/></Relationships>
</file>

<file path=xl/drawings/_rels/drawing30.xml.rels><?xml version="1.0" encoding="UTF-8" standalone="yes"?>
<Relationships xmlns="http://schemas.openxmlformats.org/package/2006/relationships"><Relationship Id="rId1" Type="http://schemas.openxmlformats.org/officeDocument/2006/relationships/hyperlink" Target="#INTRO!A1"/></Relationships>
</file>

<file path=xl/drawings/_rels/drawing31.xml.rels><?xml version="1.0" encoding="UTF-8" standalone="yes"?>
<Relationships xmlns="http://schemas.openxmlformats.org/package/2006/relationships"><Relationship Id="rId1" Type="http://schemas.openxmlformats.org/officeDocument/2006/relationships/hyperlink" Target="#INTRO!A1"/></Relationships>
</file>

<file path=xl/drawings/_rels/drawing32.xml.rels><?xml version="1.0" encoding="UTF-8" standalone="yes"?>
<Relationships xmlns="http://schemas.openxmlformats.org/package/2006/relationships"><Relationship Id="rId1" Type="http://schemas.openxmlformats.org/officeDocument/2006/relationships/hyperlink" Target="#INTRO!A1"/></Relationships>
</file>

<file path=xl/drawings/_rels/drawing33.xml.rels><?xml version="1.0" encoding="UTF-8" standalone="yes"?>
<Relationships xmlns="http://schemas.openxmlformats.org/package/2006/relationships"><Relationship Id="rId1" Type="http://schemas.openxmlformats.org/officeDocument/2006/relationships/hyperlink" Target="#INTRO!A1"/></Relationships>
</file>

<file path=xl/drawings/_rels/drawing34.xml.rels><?xml version="1.0" encoding="UTF-8" standalone="yes"?>
<Relationships xmlns="http://schemas.openxmlformats.org/package/2006/relationships"><Relationship Id="rId1" Type="http://schemas.openxmlformats.org/officeDocument/2006/relationships/hyperlink" Target="#INTRO!A1"/></Relationships>
</file>

<file path=xl/drawings/_rels/drawing35.xml.rels><?xml version="1.0" encoding="UTF-8" standalone="yes"?>
<Relationships xmlns="http://schemas.openxmlformats.org/package/2006/relationships"><Relationship Id="rId1" Type="http://schemas.openxmlformats.org/officeDocument/2006/relationships/hyperlink" Target="#INTRO!A1"/></Relationships>
</file>

<file path=xl/drawings/_rels/drawing36.xml.rels><?xml version="1.0" encoding="UTF-8" standalone="yes"?>
<Relationships xmlns="http://schemas.openxmlformats.org/package/2006/relationships"><Relationship Id="rId1" Type="http://schemas.openxmlformats.org/officeDocument/2006/relationships/hyperlink" Target="#INTRO!A1"/></Relationships>
</file>

<file path=xl/drawings/_rels/drawing37.xml.rels><?xml version="1.0" encoding="UTF-8" standalone="yes"?>
<Relationships xmlns="http://schemas.openxmlformats.org/package/2006/relationships"><Relationship Id="rId3" Type="http://schemas.openxmlformats.org/officeDocument/2006/relationships/image" Target="../media/image13.wmf"/><Relationship Id="rId2" Type="http://schemas.openxmlformats.org/officeDocument/2006/relationships/hyperlink" Target="#INTRO!A1"/><Relationship Id="rId1" Type="http://schemas.openxmlformats.org/officeDocument/2006/relationships/hyperlink" Target="#'step 4d'!A1"/></Relationships>
</file>

<file path=xl/drawings/_rels/drawing38.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39.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40.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41.xml.rels><?xml version="1.0" encoding="UTF-8" standalone="yes"?>
<Relationships xmlns="http://schemas.openxmlformats.org/package/2006/relationships"><Relationship Id="rId3" Type="http://schemas.openxmlformats.org/officeDocument/2006/relationships/hyperlink" Target="#INTRO!A1"/><Relationship Id="rId2" Type="http://schemas.openxmlformats.org/officeDocument/2006/relationships/hyperlink" Target="#'step 4d'!A1"/><Relationship Id="rId1" Type="http://schemas.openxmlformats.org/officeDocument/2006/relationships/image" Target="../media/image13.wmf"/></Relationships>
</file>

<file path=xl/drawings/_rels/drawing42.xml.rels><?xml version="1.0" encoding="UTF-8" standalone="yes"?>
<Relationships xmlns="http://schemas.openxmlformats.org/package/2006/relationships"><Relationship Id="rId2" Type="http://schemas.openxmlformats.org/officeDocument/2006/relationships/hyperlink" Target="#INTRO!A1"/><Relationship Id="rId1" Type="http://schemas.openxmlformats.org/officeDocument/2006/relationships/hyperlink" Target="#'step 4d'!A1"/></Relationships>
</file>

<file path=xl/drawings/_rels/drawing43.xml.rels><?xml version="1.0" encoding="UTF-8" standalone="yes"?>
<Relationships xmlns="http://schemas.openxmlformats.org/package/2006/relationships"><Relationship Id="rId1" Type="http://schemas.openxmlformats.org/officeDocument/2006/relationships/hyperlink" Target="#INTRO!A1"/></Relationships>
</file>

<file path=xl/drawings/_rels/drawing44.xml.rels><?xml version="1.0" encoding="UTF-8" standalone="yes"?>
<Relationships xmlns="http://schemas.openxmlformats.org/package/2006/relationships"><Relationship Id="rId1" Type="http://schemas.openxmlformats.org/officeDocument/2006/relationships/hyperlink" Target="#INTRO!A1"/></Relationships>
</file>

<file path=xl/drawings/_rels/drawing45.xml.rels><?xml version="1.0" encoding="UTF-8" standalone="yes"?>
<Relationships xmlns="http://schemas.openxmlformats.org/package/2006/relationships"><Relationship Id="rId1" Type="http://schemas.openxmlformats.org/officeDocument/2006/relationships/hyperlink" Target="#INTRO!A1"/></Relationships>
</file>

<file path=xl/drawings/_rels/drawing46.xml.rels><?xml version="1.0" encoding="UTF-8" standalone="yes"?>
<Relationships xmlns="http://schemas.openxmlformats.org/package/2006/relationships"><Relationship Id="rId3" Type="http://schemas.openxmlformats.org/officeDocument/2006/relationships/hyperlink" Target="#'step 3'!A1"/><Relationship Id="rId2" Type="http://schemas.openxmlformats.org/officeDocument/2006/relationships/hyperlink" Target="#'step 2'!A1"/><Relationship Id="rId1" Type="http://schemas.openxmlformats.org/officeDocument/2006/relationships/hyperlink" Target="#'step 1b'!A1"/><Relationship Id="rId6" Type="http://schemas.openxmlformats.org/officeDocument/2006/relationships/hyperlink" Target="#'step 4d'!A1"/><Relationship Id="rId5" Type="http://schemas.openxmlformats.org/officeDocument/2006/relationships/hyperlink" Target="#'step 5'!A1"/><Relationship Id="rId4" Type="http://schemas.openxmlformats.org/officeDocument/2006/relationships/hyperlink" Target="#INTRO!A1"/></Relationships>
</file>

<file path=xl/drawings/_rels/drawing47.xml.rels><?xml version="1.0" encoding="UTF-8" standalone="yes"?>
<Relationships xmlns="http://schemas.openxmlformats.org/package/2006/relationships"><Relationship Id="rId3" Type="http://schemas.openxmlformats.org/officeDocument/2006/relationships/hyperlink" Target="#'1.0 N_IRA'!A1"/><Relationship Id="rId2" Type="http://schemas.openxmlformats.org/officeDocument/2006/relationships/hyperlink" Target="#'1.0 IRA'!A1"/><Relationship Id="rId1" Type="http://schemas.openxmlformats.org/officeDocument/2006/relationships/hyperlink" Target="#INTRO!A1"/></Relationships>
</file>

<file path=xl/drawings/_rels/drawing48.xml.rels><?xml version="1.0" encoding="UTF-8" standalone="yes"?>
<Relationships xmlns="http://schemas.openxmlformats.org/package/2006/relationships"><Relationship Id="rId3" Type="http://schemas.openxmlformats.org/officeDocument/2006/relationships/hyperlink" Target="#'3.1 N_CRA2_2r'!A1"/><Relationship Id="rId7" Type="http://schemas.openxmlformats.org/officeDocument/2006/relationships/hyperlink" Target="#'3.3 N_CRA4_4r'!A1"/><Relationship Id="rId2" Type="http://schemas.openxmlformats.org/officeDocument/2006/relationships/hyperlink" Target="#'3.1 CRA2_2r'!A1"/><Relationship Id="rId1" Type="http://schemas.openxmlformats.org/officeDocument/2006/relationships/hyperlink" Target="#INTRO!A1"/><Relationship Id="rId6" Type="http://schemas.openxmlformats.org/officeDocument/2006/relationships/hyperlink" Target="#'3.3 CRA4_4r'!A1"/><Relationship Id="rId5" Type="http://schemas.openxmlformats.org/officeDocument/2006/relationships/hyperlink" Target="#'3.2 N_CRA3_3r'!A1"/><Relationship Id="rId4" Type="http://schemas.openxmlformats.org/officeDocument/2006/relationships/hyperlink" Target="#'3.2 CRA3_3r'!A1"/></Relationships>
</file>

<file path=xl/drawings/_rels/drawing49.xml.rels><?xml version="1.0" encoding="UTF-8" standalone="yes"?>
<Relationships xmlns="http://schemas.openxmlformats.org/package/2006/relationships"><Relationship Id="rId3" Type="http://schemas.openxmlformats.org/officeDocument/2006/relationships/hyperlink" Target="#'step 4c'!A1"/><Relationship Id="rId2" Type="http://schemas.openxmlformats.org/officeDocument/2006/relationships/hyperlink" Target="#'step 4b'!A1"/><Relationship Id="rId1" Type="http://schemas.openxmlformats.org/officeDocument/2006/relationships/hyperlink" Target="#'step 4a'!A1"/><Relationship Id="rId4" Type="http://schemas.openxmlformats.org/officeDocument/2006/relationships/hyperlink" Target="#INTRO!A1"/></Relationships>
</file>

<file path=xl/drawings/_rels/drawing50.xml.rels><?xml version="1.0" encoding="UTF-8" standalone="yes"?>
<Relationships xmlns="http://schemas.openxmlformats.org/package/2006/relationships"><Relationship Id="rId3" Type="http://schemas.openxmlformats.org/officeDocument/2006/relationships/hyperlink" Target="#'2.1 N_BRIA2_1c'!A1"/><Relationship Id="rId7" Type="http://schemas.openxmlformats.org/officeDocument/2006/relationships/hyperlink" Target="#'2.3 N_BIRA2_1r'!A1"/><Relationship Id="rId2" Type="http://schemas.openxmlformats.org/officeDocument/2006/relationships/hyperlink" Target="#'2.1 BIRA2_1c'!A1"/><Relationship Id="rId1" Type="http://schemas.openxmlformats.org/officeDocument/2006/relationships/hyperlink" Target="#INTRO!A1"/><Relationship Id="rId6" Type="http://schemas.openxmlformats.org/officeDocument/2006/relationships/hyperlink" Target="#'2.3 BIRA2_1r'!A1"/><Relationship Id="rId5" Type="http://schemas.openxmlformats.org/officeDocument/2006/relationships/hyperlink" Target="#'2.2 N_BIRA2_1f'!A1"/><Relationship Id="rId4" Type="http://schemas.openxmlformats.org/officeDocument/2006/relationships/hyperlink" Target="#'2.2 BIRA2_1f'!A1"/></Relationships>
</file>

<file path=xl/drawings/_rels/drawing51.xml.rels><?xml version="1.0" encoding="UTF-8" standalone="yes"?>
<Relationships xmlns="http://schemas.openxmlformats.org/package/2006/relationships"><Relationship Id="rId3" Type="http://schemas.openxmlformats.org/officeDocument/2006/relationships/hyperlink" Target="#'2.4 N_BIRA3_1r'!A1"/><Relationship Id="rId7" Type="http://schemas.openxmlformats.org/officeDocument/2006/relationships/hyperlink" Target="#'4.2 N_BCRA3_2r'!A1"/><Relationship Id="rId2" Type="http://schemas.openxmlformats.org/officeDocument/2006/relationships/hyperlink" Target="#'2.4 BIRA3_1r'!A1"/><Relationship Id="rId1" Type="http://schemas.openxmlformats.org/officeDocument/2006/relationships/hyperlink" Target="#INTRO!A1"/><Relationship Id="rId6" Type="http://schemas.openxmlformats.org/officeDocument/2006/relationships/hyperlink" Target="#'4.2 BCRA3_2r'!A1"/><Relationship Id="rId5" Type="http://schemas.openxmlformats.org/officeDocument/2006/relationships/hyperlink" Target="#'4.1 N_BCRA3_2f'!A1"/><Relationship Id="rId4" Type="http://schemas.openxmlformats.org/officeDocument/2006/relationships/hyperlink" Target="#'4.1 BCRA3_2f'!A1"/></Relationships>
</file>

<file path=xl/drawings/_rels/drawing52.xml.rels><?xml version="1.0" encoding="UTF-8" standalone="yes"?>
<Relationships xmlns="http://schemas.openxmlformats.org/package/2006/relationships"><Relationship Id="rId8" Type="http://schemas.openxmlformats.org/officeDocument/2006/relationships/hyperlink" Target="#'4.5 BCRA4_3r'!A1"/><Relationship Id="rId3" Type="http://schemas.openxmlformats.org/officeDocument/2006/relationships/hyperlink" Target="#'2.5 N_BIRA4_1r'!A1"/><Relationship Id="rId7" Type="http://schemas.openxmlformats.org/officeDocument/2006/relationships/hyperlink" Target="#'4.4 N_BCRA4_3f'!A1"/><Relationship Id="rId2" Type="http://schemas.openxmlformats.org/officeDocument/2006/relationships/hyperlink" Target="#'2.5 BIRA4_1r'!A1"/><Relationship Id="rId1" Type="http://schemas.openxmlformats.org/officeDocument/2006/relationships/hyperlink" Target="#INTRO!A1"/><Relationship Id="rId6" Type="http://schemas.openxmlformats.org/officeDocument/2006/relationships/hyperlink" Target="#'4.4 BCRA4_3f'!A1"/><Relationship Id="rId5" Type="http://schemas.openxmlformats.org/officeDocument/2006/relationships/hyperlink" Target="#'4.3 N_BCRA4_2r'!A1"/><Relationship Id="rId4" Type="http://schemas.openxmlformats.org/officeDocument/2006/relationships/hyperlink" Target="#'4.3 BCRA4_2r'!A1"/><Relationship Id="rId9" Type="http://schemas.openxmlformats.org/officeDocument/2006/relationships/hyperlink" Target="#'4.5 N_BCRA4_3r'!A1"/></Relationships>
</file>

<file path=xl/drawings/_rels/drawing53.xml.rels><?xml version="1.0" encoding="UTF-8" standalone="yes"?>
<Relationships xmlns="http://schemas.openxmlformats.org/package/2006/relationships"><Relationship Id="rId8" Type="http://schemas.openxmlformats.org/officeDocument/2006/relationships/hyperlink" Target="#'5.2 RD2_1r'!A1"/><Relationship Id="rId13" Type="http://schemas.openxmlformats.org/officeDocument/2006/relationships/hyperlink" Target="#'5.4 N_RDC_3r'!A1"/><Relationship Id="rId3" Type="http://schemas.openxmlformats.org/officeDocument/2006/relationships/hyperlink" Target="#'5.1 N_RD2_1f'!A1"/><Relationship Id="rId7" Type="http://schemas.openxmlformats.org/officeDocument/2006/relationships/hyperlink" Target="#'5.3 N_RDC_2r'!A1"/><Relationship Id="rId12" Type="http://schemas.openxmlformats.org/officeDocument/2006/relationships/hyperlink" Target="#'5.4 RDC_3r'!A1"/><Relationship Id="rId2" Type="http://schemas.openxmlformats.org/officeDocument/2006/relationships/hyperlink" Target="#'5.1 RD2_1f'!A1"/><Relationship Id="rId1" Type="http://schemas.openxmlformats.org/officeDocument/2006/relationships/hyperlink" Target="#INTRO!A1"/><Relationship Id="rId6" Type="http://schemas.openxmlformats.org/officeDocument/2006/relationships/hyperlink" Target="#'5.3 RDC_2r'!A1"/><Relationship Id="rId11" Type="http://schemas.openxmlformats.org/officeDocument/2006/relationships/hyperlink" Target="#'5.6 N_RD3_2r'!A1"/><Relationship Id="rId5" Type="http://schemas.openxmlformats.org/officeDocument/2006/relationships/hyperlink" Target="#'5.5 N_RD3_2f'!A1"/><Relationship Id="rId10" Type="http://schemas.openxmlformats.org/officeDocument/2006/relationships/hyperlink" Target="#'5.6 RD3_2r'!A1"/><Relationship Id="rId4" Type="http://schemas.openxmlformats.org/officeDocument/2006/relationships/hyperlink" Target="#'5.5 RD3_2f'!A1"/><Relationship Id="rId9" Type="http://schemas.openxmlformats.org/officeDocument/2006/relationships/hyperlink" Target="#'5.2 N_RD2_1r'!A1"/></Relationships>
</file>

<file path=xl/drawings/_rels/drawing54.xml.rels><?xml version="1.0" encoding="UTF-8" standalone="yes"?>
<Relationships xmlns="http://schemas.openxmlformats.org/package/2006/relationships"><Relationship Id="rId3" Type="http://schemas.openxmlformats.org/officeDocument/2006/relationships/hyperlink" Target="#'6.0 N_ITS'!A1"/><Relationship Id="rId2" Type="http://schemas.openxmlformats.org/officeDocument/2006/relationships/hyperlink" Target="#'6.0 ITS'!A1"/><Relationship Id="rId1" Type="http://schemas.openxmlformats.org/officeDocument/2006/relationships/hyperlink" Target="#INTRO!A1"/></Relationships>
</file>

<file path=xl/drawings/_rels/drawing55.xml.rels><?xml version="1.0" encoding="UTF-8" standalone="yes"?>
<Relationships xmlns="http://schemas.openxmlformats.org/package/2006/relationships"><Relationship Id="rId1" Type="http://schemas.openxmlformats.org/officeDocument/2006/relationships/hyperlink" Target="#INTRO!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4.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7.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w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3</xdr:col>
      <xdr:colOff>494241</xdr:colOff>
      <xdr:row>16</xdr:row>
      <xdr:rowOff>143933</xdr:rowOff>
    </xdr:from>
    <xdr:to>
      <xdr:col>7</xdr:col>
      <xdr:colOff>275165</xdr:colOff>
      <xdr:row>25</xdr:row>
      <xdr:rowOff>162984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1425574" y="3022600"/>
          <a:ext cx="3506258" cy="15430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4000"/>
            <a:t>Step-through</a:t>
          </a:r>
          <a:r>
            <a:rPr lang="en-US" sz="4000" baseline="0"/>
            <a:t> Process</a:t>
          </a:r>
          <a:endParaRPr lang="en-US" sz="4000"/>
        </a:p>
      </xdr:txBody>
    </xdr:sp>
    <xdr:clientData/>
  </xdr:twoCellAnchor>
  <xdr:twoCellAnchor>
    <xdr:from>
      <xdr:col>8</xdr:col>
      <xdr:colOff>107949</xdr:colOff>
      <xdr:row>16</xdr:row>
      <xdr:rowOff>135466</xdr:rowOff>
    </xdr:from>
    <xdr:to>
      <xdr:col>11</xdr:col>
      <xdr:colOff>516467</xdr:colOff>
      <xdr:row>25</xdr:row>
      <xdr:rowOff>160866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5695949" y="3014133"/>
          <a:ext cx="3202518" cy="1549400"/>
        </a:xfrm>
        <a:prstGeom prst="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i="0">
              <a:solidFill>
                <a:sysClr val="windowText" lastClr="000000"/>
              </a:solidFill>
            </a:rPr>
            <a:t>To skip the step-through process of choosing your design, click here to go directly to a list of possible designs that this program handles.</a:t>
          </a:r>
        </a:p>
      </xdr:txBody>
    </xdr:sp>
    <xdr:clientData/>
  </xdr:twoCellAnchor>
  <xdr:twoCellAnchor>
    <xdr:from>
      <xdr:col>4</xdr:col>
      <xdr:colOff>560916</xdr:colOff>
      <xdr:row>28</xdr:row>
      <xdr:rowOff>63500</xdr:rowOff>
    </xdr:from>
    <xdr:to>
      <xdr:col>10</xdr:col>
      <xdr:colOff>903815</xdr:colOff>
      <xdr:row>30</xdr:row>
      <xdr:rowOff>12700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550583" y="4942417"/>
          <a:ext cx="5803899"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1100" i="1"/>
            <a:t>PowerUp! </a:t>
          </a:r>
          <a:r>
            <a:rPr lang="en-US" sz="1100" i="0" baseline="0"/>
            <a:t> Version: 05/12/2019 [© Nianbo Dong and Rebecca A. </a:t>
          </a:r>
          <a:r>
            <a:rPr lang="en-US" sz="1100" i="0" baseline="0">
              <a:solidFill>
                <a:schemeClr val="dk1"/>
              </a:solidFill>
              <a:latin typeface="+mn-lt"/>
              <a:ea typeface="+mn-ea"/>
              <a:cs typeface="+mn-cs"/>
            </a:rPr>
            <a:t>Maynard</a:t>
          </a:r>
          <a:r>
            <a:rPr lang="en-US" sz="1100" i="0" baseline="0"/>
            <a:t>]</a:t>
          </a:r>
        </a:p>
      </xdr:txBody>
    </xdr:sp>
    <xdr:clientData/>
  </xdr:twoCellAnchor>
  <xdr:twoCellAnchor>
    <xdr:from>
      <xdr:col>2</xdr:col>
      <xdr:colOff>846667</xdr:colOff>
      <xdr:row>31</xdr:row>
      <xdr:rowOff>63500</xdr:rowOff>
    </xdr:from>
    <xdr:to>
      <xdr:col>12</xdr:col>
      <xdr:colOff>243417</xdr:colOff>
      <xdr:row>34</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024467" y="5913967"/>
          <a:ext cx="8710083" cy="44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eaLnBrk="1" fontAlgn="auto" latinLnBrk="0" hangingPunct="1"/>
          <a:r>
            <a:rPr lang="en-US" sz="1100" b="0" i="0" baseline="0">
              <a:solidFill>
                <a:schemeClr val="dk1"/>
              </a:solidFill>
              <a:effectLst/>
              <a:latin typeface="+mn-lt"/>
              <a:ea typeface="+mn-ea"/>
              <a:cs typeface="+mn-cs"/>
            </a:rPr>
            <a:t>Dong, N. and Maynard, R. A. (2013). </a:t>
          </a:r>
          <a:r>
            <a:rPr lang="en-US" sz="1100" b="0" i="1">
              <a:solidFill>
                <a:schemeClr val="dk1"/>
              </a:solidFill>
              <a:effectLst/>
              <a:latin typeface="+mn-lt"/>
              <a:ea typeface="+mn-ea"/>
              <a:cs typeface="+mn-cs"/>
            </a:rPr>
            <a:t>PowerUp!</a:t>
          </a:r>
          <a:r>
            <a:rPr lang="en-US" sz="1100" b="0">
              <a:solidFill>
                <a:schemeClr val="dk1"/>
              </a:solidFill>
              <a:effectLst/>
              <a:latin typeface="+mn-lt"/>
              <a:ea typeface="+mn-ea"/>
              <a:cs typeface="+mn-cs"/>
            </a:rPr>
            <a:t>: A tool for calculating minimum detectable effect sizes and sample size requirements for experimental and quasi-experimental designs</a:t>
          </a:r>
          <a:r>
            <a:rPr lang="en-US" sz="1100" b="0" i="1">
              <a:solidFill>
                <a:schemeClr val="dk1"/>
              </a:solidFill>
              <a:effectLst/>
              <a:latin typeface="+mn-lt"/>
              <a:ea typeface="+mn-ea"/>
              <a:cs typeface="+mn-cs"/>
            </a:rPr>
            <a:t>. Journal of Research on Educational</a:t>
          </a:r>
          <a:r>
            <a:rPr lang="en-US" sz="1100" b="0" i="1" baseline="0">
              <a:solidFill>
                <a:schemeClr val="dk1"/>
              </a:solidFill>
              <a:effectLst/>
              <a:latin typeface="+mn-lt"/>
              <a:ea typeface="+mn-ea"/>
              <a:cs typeface="+mn-cs"/>
            </a:rPr>
            <a:t> Effectiveness</a:t>
          </a:r>
          <a:r>
            <a:rPr lang="en-US" sz="1100" b="0"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6</a:t>
          </a:r>
          <a:r>
            <a:rPr lang="en-US" sz="1100" b="0" baseline="0">
              <a:solidFill>
                <a:schemeClr val="dk1"/>
              </a:solidFill>
              <a:effectLst/>
              <a:latin typeface="+mn-lt"/>
              <a:ea typeface="+mn-ea"/>
              <a:cs typeface="+mn-cs"/>
            </a:rPr>
            <a:t>(1), 24-67.  </a:t>
          </a:r>
          <a:r>
            <a:rPr lang="en-US" sz="1100">
              <a:solidFill>
                <a:schemeClr val="dk1"/>
              </a:solidFill>
              <a:effectLst/>
              <a:latin typeface="+mn-lt"/>
              <a:ea typeface="+mn-ea"/>
              <a:cs typeface="+mn-cs"/>
            </a:rPr>
            <a:t>doi: 10.1080/19345747.2012.673143</a:t>
          </a:r>
          <a:endParaRPr lang="en-US" sz="120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5103395</xdr:colOff>
      <xdr:row>15</xdr:row>
      <xdr:rowOff>140368</xdr:rowOff>
    </xdr:from>
    <xdr:to>
      <xdr:col>3</xdr:col>
      <xdr:colOff>6246395</xdr:colOff>
      <xdr:row>17</xdr:row>
      <xdr:rowOff>58988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8983579" y="5243763"/>
          <a:ext cx="1143000" cy="37983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5093354</xdr:colOff>
      <xdr:row>16</xdr:row>
      <xdr:rowOff>133350</xdr:rowOff>
    </xdr:from>
    <xdr:to>
      <xdr:col>3</xdr:col>
      <xdr:colOff>6371525</xdr:colOff>
      <xdr:row>18</xdr:row>
      <xdr:rowOff>93430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8560454" y="5467350"/>
          <a:ext cx="1278171" cy="41728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4959211</xdr:colOff>
      <xdr:row>16</xdr:row>
      <xdr:rowOff>123825</xdr:rowOff>
    </xdr:from>
    <xdr:to>
      <xdr:col>3</xdr:col>
      <xdr:colOff>6257925</xdr:colOff>
      <xdr:row>19</xdr:row>
      <xdr:rowOff>75703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8912086" y="5334000"/>
          <a:ext cx="1298714" cy="466228"/>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5078506</xdr:colOff>
      <xdr:row>19</xdr:row>
      <xdr:rowOff>171450</xdr:rowOff>
    </xdr:from>
    <xdr:to>
      <xdr:col>3</xdr:col>
      <xdr:colOff>6515100</xdr:colOff>
      <xdr:row>21</xdr:row>
      <xdr:rowOff>105448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8621806" y="6591300"/>
          <a:ext cx="1436594" cy="391198"/>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82550</xdr:colOff>
          <xdr:row>6</xdr:row>
          <xdr:rowOff>107950</xdr:rowOff>
        </xdr:from>
        <xdr:to>
          <xdr:col>1</xdr:col>
          <xdr:colOff>482600</xdr:colOff>
          <xdr:row>6</xdr:row>
          <xdr:rowOff>304800</xdr:rowOff>
        </xdr:to>
        <xdr:sp macro="" textlink="">
          <xdr:nvSpPr>
            <xdr:cNvPr id="8196" name="Object 4" hidden="1">
              <a:extLst>
                <a:ext uri="{63B3BB69-23CF-44E3-9099-C40C66FF867C}">
                  <a14:compatExt spid="_x0000_s8196"/>
                </a:ext>
                <a:ext uri="{FF2B5EF4-FFF2-40B4-BE49-F238E27FC236}">
                  <a16:creationId xmlns:a16="http://schemas.microsoft.com/office/drawing/2014/main" id="{00000000-0008-0000-0500-0000042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1219200</xdr:colOff>
          <xdr:row>3</xdr:row>
          <xdr:rowOff>114300</xdr:rowOff>
        </xdr:from>
        <xdr:to>
          <xdr:col>3</xdr:col>
          <xdr:colOff>1219200</xdr:colOff>
          <xdr:row>4</xdr:row>
          <xdr:rowOff>44450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5344850</xdr:colOff>
      <xdr:row>24</xdr:row>
      <xdr:rowOff>17726</xdr:rowOff>
    </xdr:from>
    <xdr:to>
      <xdr:col>3</xdr:col>
      <xdr:colOff>6448425</xdr:colOff>
      <xdr:row>26</xdr:row>
      <xdr:rowOff>69427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9231050" y="7628201"/>
          <a:ext cx="1103575" cy="39460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101600</xdr:colOff>
          <xdr:row>8</xdr:row>
          <xdr:rowOff>44450</xdr:rowOff>
        </xdr:from>
        <xdr:to>
          <xdr:col>1</xdr:col>
          <xdr:colOff>482600</xdr:colOff>
          <xdr:row>8</xdr:row>
          <xdr:rowOff>336550</xdr:rowOff>
        </xdr:to>
        <xdr:sp macro="" textlink="">
          <xdr:nvSpPr>
            <xdr:cNvPr id="4103" name="Object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xdr:colOff>
          <xdr:row>7</xdr:row>
          <xdr:rowOff>44450</xdr:rowOff>
        </xdr:from>
        <xdr:to>
          <xdr:col>1</xdr:col>
          <xdr:colOff>527050</xdr:colOff>
          <xdr:row>7</xdr:row>
          <xdr:rowOff>330200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3</xdr:col>
      <xdr:colOff>5227360</xdr:colOff>
      <xdr:row>27</xdr:row>
      <xdr:rowOff>153280</xdr:rowOff>
    </xdr:from>
    <xdr:to>
      <xdr:col>3</xdr:col>
      <xdr:colOff>6513724</xdr:colOff>
      <xdr:row>29</xdr:row>
      <xdr:rowOff>116682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874074" y="8633251"/>
          <a:ext cx="1286364" cy="42060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139700</xdr:colOff>
          <xdr:row>8</xdr:row>
          <xdr:rowOff>101600</xdr:rowOff>
        </xdr:from>
        <xdr:to>
          <xdr:col>1</xdr:col>
          <xdr:colOff>527050</xdr:colOff>
          <xdr:row>8</xdr:row>
          <xdr:rowOff>336550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xdr:row>
          <xdr:rowOff>107950</xdr:rowOff>
        </xdr:from>
        <xdr:to>
          <xdr:col>1</xdr:col>
          <xdr:colOff>527050</xdr:colOff>
          <xdr:row>9</xdr:row>
          <xdr:rowOff>381000</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120650</xdr:colOff>
          <xdr:row>10</xdr:row>
          <xdr:rowOff>76200</xdr:rowOff>
        </xdr:from>
        <xdr:to>
          <xdr:col>1</xdr:col>
          <xdr:colOff>527050</xdr:colOff>
          <xdr:row>10</xdr:row>
          <xdr:rowOff>336550</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4851400</xdr:colOff>
      <xdr:row>18</xdr:row>
      <xdr:rowOff>127000</xdr:rowOff>
    </xdr:from>
    <xdr:to>
      <xdr:col>3</xdr:col>
      <xdr:colOff>5918200</xdr:colOff>
      <xdr:row>20</xdr:row>
      <xdr:rowOff>135765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800-000002000000}"/>
            </a:ext>
          </a:extLst>
        </xdr:cNvPr>
        <xdr:cNvSpPr/>
      </xdr:nvSpPr>
      <xdr:spPr>
        <a:xfrm>
          <a:off x="7984067" y="5232400"/>
          <a:ext cx="1066800" cy="34743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4567237</xdr:colOff>
      <xdr:row>21</xdr:row>
      <xdr:rowOff>161924</xdr:rowOff>
    </xdr:from>
    <xdr:to>
      <xdr:col>3</xdr:col>
      <xdr:colOff>5924550</xdr:colOff>
      <xdr:row>24</xdr:row>
      <xdr:rowOff>66675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8777287" y="6400799"/>
          <a:ext cx="1357313" cy="41910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4926806</xdr:colOff>
      <xdr:row>24</xdr:row>
      <xdr:rowOff>111919</xdr:rowOff>
    </xdr:from>
    <xdr:to>
      <xdr:col>3</xdr:col>
      <xdr:colOff>6212681</xdr:colOff>
      <xdr:row>26</xdr:row>
      <xdr:rowOff>38100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A00-000002000000}"/>
            </a:ext>
          </a:extLst>
        </xdr:cNvPr>
        <xdr:cNvSpPr/>
      </xdr:nvSpPr>
      <xdr:spPr>
        <a:xfrm>
          <a:off x="8803481" y="6341269"/>
          <a:ext cx="1285875" cy="38338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5095874</xdr:colOff>
      <xdr:row>19</xdr:row>
      <xdr:rowOff>95250</xdr:rowOff>
    </xdr:from>
    <xdr:to>
      <xdr:col>4</xdr:col>
      <xdr:colOff>20871</xdr:colOff>
      <xdr:row>22</xdr:row>
      <xdr:rowOff>40279</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9048749" y="6210300"/>
          <a:ext cx="1278172" cy="459379"/>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7</xdr:row>
          <xdr:rowOff>0</xdr:rowOff>
        </xdr:from>
        <xdr:to>
          <xdr:col>1</xdr:col>
          <xdr:colOff>444500</xdr:colOff>
          <xdr:row>7</xdr:row>
          <xdr:rowOff>279400</xdr:rowOff>
        </xdr:to>
        <xdr:sp macro="" textlink="">
          <xdr:nvSpPr>
            <xdr:cNvPr id="1026" name="Object 2"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FFFFFF" mc:Ignorable="a14" a14:legacySpreadsheetColorIndex="9"/>
                  </a:solidFill>
                  <a:miter lim="800000"/>
                  <a:headEnd/>
                  <a:tailEnd/>
                </a14:hiddenLine>
              </a:ext>
            </a:extLst>
          </xdr:spPr>
        </xdr:sp>
        <xdr:clientData/>
      </xdr:twoCellAnchor>
    </mc:Choice>
    <mc:Fallback/>
  </mc:AlternateContent>
  <xdr:twoCellAnchor>
    <xdr:from>
      <xdr:col>3</xdr:col>
      <xdr:colOff>4874419</xdr:colOff>
      <xdr:row>22</xdr:row>
      <xdr:rowOff>85725</xdr:rowOff>
    </xdr:from>
    <xdr:to>
      <xdr:col>3</xdr:col>
      <xdr:colOff>6181725</xdr:colOff>
      <xdr:row>24</xdr:row>
      <xdr:rowOff>161132</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C00-000002000000}"/>
            </a:ext>
          </a:extLst>
        </xdr:cNvPr>
        <xdr:cNvSpPr/>
      </xdr:nvSpPr>
      <xdr:spPr>
        <a:xfrm>
          <a:off x="8827294" y="7296150"/>
          <a:ext cx="1307306" cy="418307"/>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3</xdr:col>
          <xdr:colOff>482600</xdr:colOff>
          <xdr:row>4</xdr:row>
          <xdr:rowOff>25400</xdr:rowOff>
        </xdr:from>
        <xdr:to>
          <xdr:col>3</xdr:col>
          <xdr:colOff>482600</xdr:colOff>
          <xdr:row>4</xdr:row>
          <xdr:rowOff>158750</xdr:rowOff>
        </xdr:to>
        <xdr:sp macro="" textlink="">
          <xdr:nvSpPr>
            <xdr:cNvPr id="1186" name="Object 162" hidden="1">
              <a:extLst>
                <a:ext uri="{63B3BB69-23CF-44E3-9099-C40C66FF867C}">
                  <a14:compatExt spid="_x0000_s1186"/>
                </a:ext>
                <a:ext uri="{FF2B5EF4-FFF2-40B4-BE49-F238E27FC236}">
                  <a16:creationId xmlns:a16="http://schemas.microsoft.com/office/drawing/2014/main" id="{00000000-0008-0000-0C00-0000A2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xdr:col>
      <xdr:colOff>5534024</xdr:colOff>
      <xdr:row>26</xdr:row>
      <xdr:rowOff>97630</xdr:rowOff>
    </xdr:from>
    <xdr:to>
      <xdr:col>3</xdr:col>
      <xdr:colOff>6572250</xdr:colOff>
      <xdr:row>28</xdr:row>
      <xdr:rowOff>78581</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D00-000002000000}"/>
            </a:ext>
          </a:extLst>
        </xdr:cNvPr>
        <xdr:cNvSpPr/>
      </xdr:nvSpPr>
      <xdr:spPr>
        <a:xfrm>
          <a:off x="9439274" y="7593805"/>
          <a:ext cx="1038226" cy="43815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120650</xdr:colOff>
          <xdr:row>8</xdr:row>
          <xdr:rowOff>139700</xdr:rowOff>
        </xdr:from>
        <xdr:to>
          <xdr:col>1</xdr:col>
          <xdr:colOff>495300</xdr:colOff>
          <xdr:row>8</xdr:row>
          <xdr:rowOff>406400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107950</xdr:colOff>
          <xdr:row>9</xdr:row>
          <xdr:rowOff>107950</xdr:rowOff>
        </xdr:from>
        <xdr:to>
          <xdr:col>1</xdr:col>
          <xdr:colOff>558800</xdr:colOff>
          <xdr:row>9</xdr:row>
          <xdr:rowOff>425450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D00-0000022C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4</xdr:row>
          <xdr:rowOff>82550</xdr:rowOff>
        </xdr:from>
        <xdr:to>
          <xdr:col>3</xdr:col>
          <xdr:colOff>349250</xdr:colOff>
          <xdr:row>5</xdr:row>
          <xdr:rowOff>6350</xdr:rowOff>
        </xdr:to>
        <xdr:sp macro="" textlink="">
          <xdr:nvSpPr>
            <xdr:cNvPr id="11267" name="Object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4</xdr:row>
          <xdr:rowOff>82550</xdr:rowOff>
        </xdr:from>
        <xdr:to>
          <xdr:col>3</xdr:col>
          <xdr:colOff>349250</xdr:colOff>
          <xdr:row>5</xdr:row>
          <xdr:rowOff>6350</xdr:rowOff>
        </xdr:to>
        <xdr:sp macro="" textlink="">
          <xdr:nvSpPr>
            <xdr:cNvPr id="11268" name="Object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4</xdr:row>
          <xdr:rowOff>82550</xdr:rowOff>
        </xdr:from>
        <xdr:to>
          <xdr:col>3</xdr:col>
          <xdr:colOff>349250</xdr:colOff>
          <xdr:row>5</xdr:row>
          <xdr:rowOff>6350</xdr:rowOff>
        </xdr:to>
        <xdr:sp macro="" textlink="">
          <xdr:nvSpPr>
            <xdr:cNvPr id="11269" name="Object 5" hidden="1">
              <a:extLst>
                <a:ext uri="{63B3BB69-23CF-44E3-9099-C40C66FF867C}">
                  <a14:compatExt spid="_x0000_s11269"/>
                </a:ext>
                <a:ext uri="{FF2B5EF4-FFF2-40B4-BE49-F238E27FC236}">
                  <a16:creationId xmlns:a16="http://schemas.microsoft.com/office/drawing/2014/main" id="{00000000-0008-0000-0D00-000005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4</xdr:row>
          <xdr:rowOff>82550</xdr:rowOff>
        </xdr:from>
        <xdr:to>
          <xdr:col>3</xdr:col>
          <xdr:colOff>349250</xdr:colOff>
          <xdr:row>5</xdr:row>
          <xdr:rowOff>6350</xdr:rowOff>
        </xdr:to>
        <xdr:sp macro="" textlink="">
          <xdr:nvSpPr>
            <xdr:cNvPr id="11270" name="Object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5</xdr:row>
          <xdr:rowOff>107950</xdr:rowOff>
        </xdr:from>
        <xdr:to>
          <xdr:col>3</xdr:col>
          <xdr:colOff>349250</xdr:colOff>
          <xdr:row>5</xdr:row>
          <xdr:rowOff>254000</xdr:rowOff>
        </xdr:to>
        <xdr:sp macro="" textlink="">
          <xdr:nvSpPr>
            <xdr:cNvPr id="11271" name="Object 7" hidden="1">
              <a:extLst>
                <a:ext uri="{63B3BB69-23CF-44E3-9099-C40C66FF867C}">
                  <a14:compatExt spid="_x0000_s11271"/>
                </a:ext>
                <a:ext uri="{FF2B5EF4-FFF2-40B4-BE49-F238E27FC236}">
                  <a16:creationId xmlns:a16="http://schemas.microsoft.com/office/drawing/2014/main" id="{00000000-0008-0000-0D00-000007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5</xdr:row>
          <xdr:rowOff>107950</xdr:rowOff>
        </xdr:from>
        <xdr:to>
          <xdr:col>3</xdr:col>
          <xdr:colOff>349250</xdr:colOff>
          <xdr:row>5</xdr:row>
          <xdr:rowOff>254000</xdr:rowOff>
        </xdr:to>
        <xdr:sp macro="" textlink="">
          <xdr:nvSpPr>
            <xdr:cNvPr id="11272" name="Object 8"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5</xdr:row>
          <xdr:rowOff>107950</xdr:rowOff>
        </xdr:from>
        <xdr:to>
          <xdr:col>3</xdr:col>
          <xdr:colOff>349250</xdr:colOff>
          <xdr:row>5</xdr:row>
          <xdr:rowOff>254000</xdr:rowOff>
        </xdr:to>
        <xdr:sp macro="" textlink="">
          <xdr:nvSpPr>
            <xdr:cNvPr id="11273" name="Object 9" hidden="1">
              <a:extLst>
                <a:ext uri="{63B3BB69-23CF-44E3-9099-C40C66FF867C}">
                  <a14:compatExt spid="_x0000_s11273"/>
                </a:ext>
                <a:ext uri="{FF2B5EF4-FFF2-40B4-BE49-F238E27FC236}">
                  <a16:creationId xmlns:a16="http://schemas.microsoft.com/office/drawing/2014/main" id="{00000000-0008-0000-0D00-000009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349250</xdr:colOff>
          <xdr:row>5</xdr:row>
          <xdr:rowOff>107950</xdr:rowOff>
        </xdr:from>
        <xdr:to>
          <xdr:col>3</xdr:col>
          <xdr:colOff>349250</xdr:colOff>
          <xdr:row>5</xdr:row>
          <xdr:rowOff>254000</xdr:rowOff>
        </xdr:to>
        <xdr:sp macro="" textlink="">
          <xdr:nvSpPr>
            <xdr:cNvPr id="11274" name="Object 10" hidden="1">
              <a:extLst>
                <a:ext uri="{63B3BB69-23CF-44E3-9099-C40C66FF867C}">
                  <a14:compatExt spid="_x0000_s11274"/>
                </a:ext>
                <a:ext uri="{FF2B5EF4-FFF2-40B4-BE49-F238E27FC236}">
                  <a16:creationId xmlns:a16="http://schemas.microsoft.com/office/drawing/2014/main" id="{00000000-0008-0000-0D00-00000A2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3</xdr:col>
      <xdr:colOff>5893329</xdr:colOff>
      <xdr:row>22</xdr:row>
      <xdr:rowOff>112976</xdr:rowOff>
    </xdr:from>
    <xdr:to>
      <xdr:col>3</xdr:col>
      <xdr:colOff>6934200</xdr:colOff>
      <xdr:row>25</xdr:row>
      <xdr:rowOff>38100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E00-000002000000}"/>
            </a:ext>
          </a:extLst>
        </xdr:cNvPr>
        <xdr:cNvSpPr/>
      </xdr:nvSpPr>
      <xdr:spPr>
        <a:xfrm>
          <a:off x="10236729" y="6409001"/>
          <a:ext cx="1040871" cy="439474"/>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6173258</xdr:colOff>
      <xdr:row>25</xdr:row>
      <xdr:rowOff>84720</xdr:rowOff>
    </xdr:from>
    <xdr:to>
      <xdr:col>3</xdr:col>
      <xdr:colOff>7274560</xdr:colOff>
      <xdr:row>27</xdr:row>
      <xdr:rowOff>20478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a:off x="10216938" y="7501520"/>
          <a:ext cx="1101302" cy="403118"/>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107950</xdr:colOff>
          <xdr:row>8</xdr:row>
          <xdr:rowOff>82550</xdr:rowOff>
        </xdr:from>
        <xdr:to>
          <xdr:col>1</xdr:col>
          <xdr:colOff>488950</xdr:colOff>
          <xdr:row>8</xdr:row>
          <xdr:rowOff>368300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F00-00000128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2368550</xdr:colOff>
          <xdr:row>8</xdr:row>
          <xdr:rowOff>215900</xdr:rowOff>
        </xdr:from>
        <xdr:to>
          <xdr:col>3</xdr:col>
          <xdr:colOff>3035300</xdr:colOff>
          <xdr:row>9</xdr:row>
          <xdr:rowOff>0</xdr:rowOff>
        </xdr:to>
        <xdr:sp macro="" textlink="">
          <xdr:nvSpPr>
            <xdr:cNvPr id="10386" name="Object 146" hidden="1">
              <a:extLst>
                <a:ext uri="{63B3BB69-23CF-44E3-9099-C40C66FF867C}">
                  <a14:compatExt spid="_x0000_s10386"/>
                </a:ext>
                <a:ext uri="{FF2B5EF4-FFF2-40B4-BE49-F238E27FC236}">
                  <a16:creationId xmlns:a16="http://schemas.microsoft.com/office/drawing/2014/main" id="{00000000-0008-0000-0F00-0000922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4917440</xdr:colOff>
      <xdr:row>19</xdr:row>
      <xdr:rowOff>161524</xdr:rowOff>
    </xdr:from>
    <xdr:to>
      <xdr:col>3</xdr:col>
      <xdr:colOff>6046565</xdr:colOff>
      <xdr:row>22</xdr:row>
      <xdr:rowOff>33020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000-000002000000}"/>
            </a:ext>
          </a:extLst>
        </xdr:cNvPr>
        <xdr:cNvSpPr/>
      </xdr:nvSpPr>
      <xdr:spPr>
        <a:xfrm>
          <a:off x="8392160" y="5993364"/>
          <a:ext cx="1129125" cy="38965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6327562</xdr:colOff>
      <xdr:row>19</xdr:row>
      <xdr:rowOff>152401</xdr:rowOff>
    </xdr:from>
    <xdr:to>
      <xdr:col>3</xdr:col>
      <xdr:colOff>7372137</xdr:colOff>
      <xdr:row>22</xdr:row>
      <xdr:rowOff>20956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000-000003000000}"/>
            </a:ext>
          </a:extLst>
        </xdr:cNvPr>
        <xdr:cNvSpPr/>
      </xdr:nvSpPr>
      <xdr:spPr>
        <a:xfrm>
          <a:off x="9802282" y="5984241"/>
          <a:ext cx="1044575" cy="38671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1</xdr:col>
      <xdr:colOff>111760</xdr:colOff>
      <xdr:row>15</xdr:row>
      <xdr:rowOff>50800</xdr:rowOff>
    </xdr:from>
    <xdr:to>
      <xdr:col>1</xdr:col>
      <xdr:colOff>353800</xdr:colOff>
      <xdr:row>15</xdr:row>
      <xdr:rowOff>338591</xdr:rowOff>
    </xdr:to>
    <xdr:pic>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14960" y="5171440"/>
          <a:ext cx="242040" cy="287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4998720</xdr:colOff>
      <xdr:row>22</xdr:row>
      <xdr:rowOff>181844</xdr:rowOff>
    </xdr:from>
    <xdr:to>
      <xdr:col>3</xdr:col>
      <xdr:colOff>6209125</xdr:colOff>
      <xdr:row>24</xdr:row>
      <xdr:rowOff>101600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1100-000005000000}"/>
            </a:ext>
          </a:extLst>
        </xdr:cNvPr>
        <xdr:cNvSpPr/>
      </xdr:nvSpPr>
      <xdr:spPr>
        <a:xfrm>
          <a:off x="8818880" y="7283684"/>
          <a:ext cx="1210405" cy="38711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6500283</xdr:colOff>
      <xdr:row>22</xdr:row>
      <xdr:rowOff>162562</xdr:rowOff>
    </xdr:from>
    <xdr:to>
      <xdr:col>4</xdr:col>
      <xdr:colOff>1694</xdr:colOff>
      <xdr:row>24</xdr:row>
      <xdr:rowOff>89748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1100-000006000000}"/>
            </a:ext>
          </a:extLst>
        </xdr:cNvPr>
        <xdr:cNvSpPr/>
      </xdr:nvSpPr>
      <xdr:spPr>
        <a:xfrm>
          <a:off x="10320443" y="7264402"/>
          <a:ext cx="958851" cy="39454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1</xdr:col>
      <xdr:colOff>39461</xdr:colOff>
      <xdr:row>18</xdr:row>
      <xdr:rowOff>17009</xdr:rowOff>
    </xdr:from>
    <xdr:to>
      <xdr:col>1</xdr:col>
      <xdr:colOff>281501</xdr:colOff>
      <xdr:row>18</xdr:row>
      <xdr:rowOff>304800</xdr:rowOff>
    </xdr:to>
    <xdr:pic>
      <xdr:nvPicPr>
        <xdr:cNvPr id="36868" name="Picture 4">
          <a:extLst>
            <a:ext uri="{FF2B5EF4-FFF2-40B4-BE49-F238E27FC236}">
              <a16:creationId xmlns:a16="http://schemas.microsoft.com/office/drawing/2014/main" id="{00000000-0008-0000-1100-0000049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23941" y="6732769"/>
          <a:ext cx="242040" cy="287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69850</xdr:colOff>
          <xdr:row>6</xdr:row>
          <xdr:rowOff>152400</xdr:rowOff>
        </xdr:from>
        <xdr:to>
          <xdr:col>1</xdr:col>
          <xdr:colOff>425450</xdr:colOff>
          <xdr:row>6</xdr:row>
          <xdr:rowOff>336550</xdr:rowOff>
        </xdr:to>
        <xdr:sp macro="" textlink="">
          <xdr:nvSpPr>
            <xdr:cNvPr id="36866" name="Object 2" hidden="1">
              <a:extLst>
                <a:ext uri="{63B3BB69-23CF-44E3-9099-C40C66FF867C}">
                  <a14:compatExt spid="_x0000_s36866"/>
                </a:ext>
                <a:ext uri="{FF2B5EF4-FFF2-40B4-BE49-F238E27FC236}">
                  <a16:creationId xmlns:a16="http://schemas.microsoft.com/office/drawing/2014/main" id="{00000000-0008-0000-1100-0000029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2051050</xdr:colOff>
          <xdr:row>6</xdr:row>
          <xdr:rowOff>196850</xdr:rowOff>
        </xdr:from>
        <xdr:to>
          <xdr:col>3</xdr:col>
          <xdr:colOff>2705100</xdr:colOff>
          <xdr:row>7</xdr:row>
          <xdr:rowOff>6350</xdr:rowOff>
        </xdr:to>
        <xdr:sp macro="" textlink="">
          <xdr:nvSpPr>
            <xdr:cNvPr id="2" name="Object 4" hidden="1">
              <a:extLst>
                <a:ext uri="{63B3BB69-23CF-44E3-9099-C40C66FF867C}">
                  <a14:compatExt spid="_x0000_s36868"/>
                </a:ext>
                <a:ext uri="{FF2B5EF4-FFF2-40B4-BE49-F238E27FC236}">
                  <a16:creationId xmlns:a16="http://schemas.microsoft.com/office/drawing/2014/main" id="{00000000-0008-0000-1100-0000020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xdr:col>
      <xdr:colOff>152400</xdr:colOff>
      <xdr:row>17</xdr:row>
      <xdr:rowOff>50801</xdr:rowOff>
    </xdr:from>
    <xdr:to>
      <xdr:col>1</xdr:col>
      <xdr:colOff>451469</xdr:colOff>
      <xdr:row>17</xdr:row>
      <xdr:rowOff>406401</xdr:rowOff>
    </xdr:to>
    <xdr:pic>
      <xdr:nvPicPr>
        <xdr:cNvPr id="7" name="Picture 4">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5120" y="5862321"/>
          <a:ext cx="299069" cy="355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4267200</xdr:colOff>
      <xdr:row>21</xdr:row>
      <xdr:rowOff>151362</xdr:rowOff>
    </xdr:from>
    <xdr:to>
      <xdr:col>3</xdr:col>
      <xdr:colOff>5477605</xdr:colOff>
      <xdr:row>23</xdr:row>
      <xdr:rowOff>71118</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00000000-0008-0000-1200-000008000000}"/>
            </a:ext>
          </a:extLst>
        </xdr:cNvPr>
        <xdr:cNvSpPr/>
      </xdr:nvSpPr>
      <xdr:spPr>
        <a:xfrm>
          <a:off x="7863840" y="6958562"/>
          <a:ext cx="1210405" cy="38711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5768763</xdr:colOff>
      <xdr:row>21</xdr:row>
      <xdr:rowOff>132080</xdr:rowOff>
    </xdr:from>
    <xdr:to>
      <xdr:col>3</xdr:col>
      <xdr:colOff>6727614</xdr:colOff>
      <xdr:row>23</xdr:row>
      <xdr:rowOff>59266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9365403" y="6939280"/>
          <a:ext cx="958851" cy="39454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133350</xdr:colOff>
      <xdr:row>19</xdr:row>
      <xdr:rowOff>304800</xdr:rowOff>
    </xdr:from>
    <xdr:to>
      <xdr:col>1</xdr:col>
      <xdr:colOff>375390</xdr:colOff>
      <xdr:row>20</xdr:row>
      <xdr:rowOff>268741</xdr:rowOff>
    </xdr:to>
    <xdr:pic>
      <xdr:nvPicPr>
        <xdr:cNvPr id="5" name="Picture 4">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7219950"/>
          <a:ext cx="242040" cy="287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4267200</xdr:colOff>
      <xdr:row>24</xdr:row>
      <xdr:rowOff>181207</xdr:rowOff>
    </xdr:from>
    <xdr:to>
      <xdr:col>3</xdr:col>
      <xdr:colOff>5477605</xdr:colOff>
      <xdr:row>26</xdr:row>
      <xdr:rowOff>111123</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1300-000009000000}"/>
            </a:ext>
          </a:extLst>
        </xdr:cNvPr>
        <xdr:cNvSpPr/>
      </xdr:nvSpPr>
      <xdr:spPr>
        <a:xfrm>
          <a:off x="8067675" y="7153507"/>
          <a:ext cx="1210405" cy="38711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5768763</xdr:colOff>
      <xdr:row>24</xdr:row>
      <xdr:rowOff>161925</xdr:rowOff>
    </xdr:from>
    <xdr:to>
      <xdr:col>3</xdr:col>
      <xdr:colOff>6727614</xdr:colOff>
      <xdr:row>26</xdr:row>
      <xdr:rowOff>99271</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0000000-0008-0000-1300-00000A000000}"/>
            </a:ext>
          </a:extLst>
        </xdr:cNvPr>
        <xdr:cNvSpPr/>
      </xdr:nvSpPr>
      <xdr:spPr>
        <a:xfrm>
          <a:off x="9569238" y="7134225"/>
          <a:ext cx="958851" cy="39454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66675</xdr:colOff>
      <xdr:row>18</xdr:row>
      <xdr:rowOff>0</xdr:rowOff>
    </xdr:from>
    <xdr:to>
      <xdr:col>1</xdr:col>
      <xdr:colOff>457200</xdr:colOff>
      <xdr:row>19</xdr:row>
      <xdr:rowOff>0</xdr:rowOff>
    </xdr:to>
    <xdr:pic>
      <xdr:nvPicPr>
        <xdr:cNvPr id="41203" name="Picture 243">
          <a:extLst>
            <a:ext uri="{FF2B5EF4-FFF2-40B4-BE49-F238E27FC236}">
              <a16:creationId xmlns:a16="http://schemas.microsoft.com/office/drawing/2014/main" id="{00000000-0008-0000-1400-0000F3A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334000"/>
          <a:ext cx="3905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4250267</xdr:colOff>
      <xdr:row>22</xdr:row>
      <xdr:rowOff>205549</xdr:rowOff>
    </xdr:from>
    <xdr:to>
      <xdr:col>3</xdr:col>
      <xdr:colOff>5460672</xdr:colOff>
      <xdr:row>24</xdr:row>
      <xdr:rowOff>135465</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1400-000007000000}"/>
            </a:ext>
          </a:extLst>
        </xdr:cNvPr>
        <xdr:cNvSpPr/>
      </xdr:nvSpPr>
      <xdr:spPr>
        <a:xfrm>
          <a:off x="8068734" y="6208416"/>
          <a:ext cx="1210405" cy="38711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5751830</xdr:colOff>
      <xdr:row>22</xdr:row>
      <xdr:rowOff>186267</xdr:rowOff>
    </xdr:from>
    <xdr:to>
      <xdr:col>3</xdr:col>
      <xdr:colOff>6710681</xdr:colOff>
      <xdr:row>24</xdr:row>
      <xdr:rowOff>123613</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1400-000008000000}"/>
            </a:ext>
          </a:extLst>
        </xdr:cNvPr>
        <xdr:cNvSpPr/>
      </xdr:nvSpPr>
      <xdr:spPr>
        <a:xfrm>
          <a:off x="9570297" y="6189134"/>
          <a:ext cx="958851" cy="39454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7</xdr:row>
          <xdr:rowOff>50800</xdr:rowOff>
        </xdr:from>
        <xdr:to>
          <xdr:col>1</xdr:col>
          <xdr:colOff>508000</xdr:colOff>
          <xdr:row>7</xdr:row>
          <xdr:rowOff>311150</xdr:rowOff>
        </xdr:to>
        <xdr:sp macro="" textlink="">
          <xdr:nvSpPr>
            <xdr:cNvPr id="41985" name="Object 1" hidden="1">
              <a:extLst>
                <a:ext uri="{63B3BB69-23CF-44E3-9099-C40C66FF867C}">
                  <a14:compatExt spid="_x0000_s41985"/>
                </a:ext>
                <a:ext uri="{FF2B5EF4-FFF2-40B4-BE49-F238E27FC236}">
                  <a16:creationId xmlns:a16="http://schemas.microsoft.com/office/drawing/2014/main" id="{00000000-0008-0000-1500-000001A40000}"/>
                </a:ext>
              </a:extLst>
            </xdr:cNvPr>
            <xdr:cNvSpPr/>
          </xdr:nvSpPr>
          <xdr:spPr bwMode="auto">
            <a:xfrm>
              <a:off x="0" y="0"/>
              <a:ext cx="0" cy="0"/>
            </a:xfrm>
            <a:prstGeom prst="rect">
              <a:avLst/>
            </a:prstGeom>
            <a:noFill/>
            <a:ln w="9525">
              <a:solidFill>
                <a:srgbClr val="FFFFFF" mc:Ignorable="a14" a14:legacySpreadsheetColorIndex="9"/>
              </a:solidFill>
              <a:miter lim="800000"/>
              <a:headEnd/>
              <a:tailEnd/>
            </a:ln>
            <a:extLst>
              <a:ext uri="{909E8E84-426E-40DD-AFC4-6F175D3DCCD1}">
                <a14:hiddenFill>
                  <a:solidFill>
                    <a:srgbClr val="FFCC99" mc:Ignorable="a14" a14:legacySpreadsheetColorIndex="47"/>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3454400</xdr:colOff>
          <xdr:row>7</xdr:row>
          <xdr:rowOff>228600</xdr:rowOff>
        </xdr:from>
        <xdr:to>
          <xdr:col>3</xdr:col>
          <xdr:colOff>4406900</xdr:colOff>
          <xdr:row>7</xdr:row>
          <xdr:rowOff>457200</xdr:rowOff>
        </xdr:to>
        <xdr:sp macro="" textlink="">
          <xdr:nvSpPr>
            <xdr:cNvPr id="42140" name="Object 156" hidden="1">
              <a:extLst>
                <a:ext uri="{63B3BB69-23CF-44E3-9099-C40C66FF867C}">
                  <a14:compatExt spid="_x0000_s42140"/>
                </a:ext>
                <a:ext uri="{FF2B5EF4-FFF2-40B4-BE49-F238E27FC236}">
                  <a16:creationId xmlns:a16="http://schemas.microsoft.com/office/drawing/2014/main" id="{00000000-0008-0000-1500-00009CA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xdr:col>
      <xdr:colOff>76199</xdr:colOff>
      <xdr:row>20</xdr:row>
      <xdr:rowOff>304800</xdr:rowOff>
    </xdr:from>
    <xdr:to>
      <xdr:col>1</xdr:col>
      <xdr:colOff>371474</xdr:colOff>
      <xdr:row>21</xdr:row>
      <xdr:rowOff>332039</xdr:rowOff>
    </xdr:to>
    <xdr:pic>
      <xdr:nvPicPr>
        <xdr:cNvPr id="7" name="Picture 4">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49" y="7248525"/>
          <a:ext cx="295275" cy="3510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4191000</xdr:colOff>
      <xdr:row>25</xdr:row>
      <xdr:rowOff>219307</xdr:rowOff>
    </xdr:from>
    <xdr:to>
      <xdr:col>3</xdr:col>
      <xdr:colOff>5401405</xdr:colOff>
      <xdr:row>27</xdr:row>
      <xdr:rowOff>149223</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00000000-0008-0000-1500-000008000000}"/>
            </a:ext>
          </a:extLst>
        </xdr:cNvPr>
        <xdr:cNvSpPr/>
      </xdr:nvSpPr>
      <xdr:spPr>
        <a:xfrm>
          <a:off x="7953375" y="7077307"/>
          <a:ext cx="1210405" cy="38711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3</xdr:col>
      <xdr:colOff>5692563</xdr:colOff>
      <xdr:row>25</xdr:row>
      <xdr:rowOff>200025</xdr:rowOff>
    </xdr:from>
    <xdr:to>
      <xdr:col>3</xdr:col>
      <xdr:colOff>6651414</xdr:colOff>
      <xdr:row>27</xdr:row>
      <xdr:rowOff>137371</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1500-000009000000}"/>
            </a:ext>
          </a:extLst>
        </xdr:cNvPr>
        <xdr:cNvSpPr/>
      </xdr:nvSpPr>
      <xdr:spPr>
        <a:xfrm>
          <a:off x="9454938" y="7058025"/>
          <a:ext cx="958851" cy="39454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5391149</xdr:colOff>
      <xdr:row>20</xdr:row>
      <xdr:rowOff>147870</xdr:rowOff>
    </xdr:from>
    <xdr:to>
      <xdr:col>3</xdr:col>
      <xdr:colOff>6540234</xdr:colOff>
      <xdr:row>22</xdr:row>
      <xdr:rowOff>47625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600-000002000000}"/>
            </a:ext>
          </a:extLst>
        </xdr:cNvPr>
        <xdr:cNvSpPr/>
      </xdr:nvSpPr>
      <xdr:spPr>
        <a:xfrm>
          <a:off x="10020299" y="6481995"/>
          <a:ext cx="1149085" cy="35695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2</xdr:col>
      <xdr:colOff>4552951</xdr:colOff>
      <xdr:row>18</xdr:row>
      <xdr:rowOff>143933</xdr:rowOff>
    </xdr:from>
    <xdr:to>
      <xdr:col>2</xdr:col>
      <xdr:colOff>5819742</xdr:colOff>
      <xdr:row>20</xdr:row>
      <xdr:rowOff>42334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700-000002000000}"/>
            </a:ext>
          </a:extLst>
        </xdr:cNvPr>
        <xdr:cNvSpPr/>
      </xdr:nvSpPr>
      <xdr:spPr>
        <a:xfrm>
          <a:off x="8117418" y="5596466"/>
          <a:ext cx="1266791" cy="35560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2673350</xdr:colOff>
          <xdr:row>15</xdr:row>
          <xdr:rowOff>139700</xdr:rowOff>
        </xdr:from>
        <xdr:to>
          <xdr:col>1</xdr:col>
          <xdr:colOff>863600</xdr:colOff>
          <xdr:row>15</xdr:row>
          <xdr:rowOff>488950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700-00000288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2</xdr:col>
      <xdr:colOff>5426730</xdr:colOff>
      <xdr:row>19</xdr:row>
      <xdr:rowOff>123825</xdr:rowOff>
    </xdr:from>
    <xdr:to>
      <xdr:col>2</xdr:col>
      <xdr:colOff>6467476</xdr:colOff>
      <xdr:row>20</xdr:row>
      <xdr:rowOff>219074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9208155" y="5895975"/>
          <a:ext cx="1040746" cy="323849"/>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2679700</xdr:colOff>
          <xdr:row>16</xdr:row>
          <xdr:rowOff>146050</xdr:rowOff>
        </xdr:from>
        <xdr:to>
          <xdr:col>2</xdr:col>
          <xdr:colOff>31750</xdr:colOff>
          <xdr:row>16</xdr:row>
          <xdr:rowOff>488950</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id="{00000000-0008-0000-1800-0000028C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2</xdr:col>
      <xdr:colOff>5219700</xdr:colOff>
      <xdr:row>19</xdr:row>
      <xdr:rowOff>160019</xdr:rowOff>
    </xdr:from>
    <xdr:to>
      <xdr:col>2</xdr:col>
      <xdr:colOff>6314375</xdr:colOff>
      <xdr:row>21</xdr:row>
      <xdr:rowOff>28574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8972550" y="4732019"/>
          <a:ext cx="1094675" cy="32575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2559050</xdr:colOff>
          <xdr:row>16</xdr:row>
          <xdr:rowOff>114300</xdr:rowOff>
        </xdr:from>
        <xdr:to>
          <xdr:col>2</xdr:col>
          <xdr:colOff>31750</xdr:colOff>
          <xdr:row>16</xdr:row>
          <xdr:rowOff>457200</xdr:rowOff>
        </xdr:to>
        <xdr:sp macro="" textlink="">
          <xdr:nvSpPr>
            <xdr:cNvPr id="167939" name="Button 3" hidden="1">
              <a:extLst>
                <a:ext uri="{63B3BB69-23CF-44E3-9099-C40C66FF867C}">
                  <a14:compatExt spid="_x0000_s167939"/>
                </a:ext>
                <a:ext uri="{FF2B5EF4-FFF2-40B4-BE49-F238E27FC236}">
                  <a16:creationId xmlns:a16="http://schemas.microsoft.com/office/drawing/2014/main" id="{00000000-0008-0000-1900-00000390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2</xdr:col>
      <xdr:colOff>5715000</xdr:colOff>
      <xdr:row>22</xdr:row>
      <xdr:rowOff>95250</xdr:rowOff>
    </xdr:from>
    <xdr:to>
      <xdr:col>2</xdr:col>
      <xdr:colOff>6781800</xdr:colOff>
      <xdr:row>23</xdr:row>
      <xdr:rowOff>171450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9344025" y="6410325"/>
          <a:ext cx="1066800" cy="3048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44450</xdr:colOff>
          <xdr:row>7</xdr:row>
          <xdr:rowOff>101600</xdr:rowOff>
        </xdr:from>
        <xdr:to>
          <xdr:col>0</xdr:col>
          <xdr:colOff>482600</xdr:colOff>
          <xdr:row>7</xdr:row>
          <xdr:rowOff>298450</xdr:rowOff>
        </xdr:to>
        <xdr:sp macro="" textlink="">
          <xdr:nvSpPr>
            <xdr:cNvPr id="168961" name="Object 1" hidden="1">
              <a:extLst>
                <a:ext uri="{63B3BB69-23CF-44E3-9099-C40C66FF867C}">
                  <a14:compatExt spid="_x0000_s168961"/>
                </a:ext>
                <a:ext uri="{FF2B5EF4-FFF2-40B4-BE49-F238E27FC236}">
                  <a16:creationId xmlns:a16="http://schemas.microsoft.com/office/drawing/2014/main" id="{00000000-0008-0000-1A00-00000194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2743200</xdr:colOff>
          <xdr:row>19</xdr:row>
          <xdr:rowOff>107950</xdr:rowOff>
        </xdr:from>
        <xdr:to>
          <xdr:col>1</xdr:col>
          <xdr:colOff>863600</xdr:colOff>
          <xdr:row>19</xdr:row>
          <xdr:rowOff>450850</xdr:rowOff>
        </xdr:to>
        <xdr:sp macro="" textlink="">
          <xdr:nvSpPr>
            <xdr:cNvPr id="168964" name="Button 4" hidden="1">
              <a:extLst>
                <a:ext uri="{63B3BB69-23CF-44E3-9099-C40C66FF867C}">
                  <a14:compatExt spid="_x0000_s168964"/>
                </a:ext>
                <a:ext uri="{FF2B5EF4-FFF2-40B4-BE49-F238E27FC236}">
                  <a16:creationId xmlns:a16="http://schemas.microsoft.com/office/drawing/2014/main" id="{00000000-0008-0000-1A00-00000494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2</xdr:col>
      <xdr:colOff>6362700</xdr:colOff>
      <xdr:row>26</xdr:row>
      <xdr:rowOff>182645</xdr:rowOff>
    </xdr:from>
    <xdr:to>
      <xdr:col>3</xdr:col>
      <xdr:colOff>0</xdr:colOff>
      <xdr:row>28</xdr:row>
      <xdr:rowOff>70758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B00-000002000000}"/>
            </a:ext>
          </a:extLst>
        </xdr:cNvPr>
        <xdr:cNvSpPr/>
      </xdr:nvSpPr>
      <xdr:spPr>
        <a:xfrm>
          <a:off x="10077450" y="7802645"/>
          <a:ext cx="1171575" cy="345313"/>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44450</xdr:colOff>
          <xdr:row>9</xdr:row>
          <xdr:rowOff>38100</xdr:rowOff>
        </xdr:from>
        <xdr:to>
          <xdr:col>0</xdr:col>
          <xdr:colOff>463550</xdr:colOff>
          <xdr:row>9</xdr:row>
          <xdr:rowOff>330200</xdr:rowOff>
        </xdr:to>
        <xdr:sp macro="" textlink="">
          <xdr:nvSpPr>
            <xdr:cNvPr id="169985" name="Object 1" hidden="1">
              <a:extLst>
                <a:ext uri="{63B3BB69-23CF-44E3-9099-C40C66FF867C}">
                  <a14:compatExt spid="_x0000_s169985"/>
                </a:ext>
                <a:ext uri="{FF2B5EF4-FFF2-40B4-BE49-F238E27FC236}">
                  <a16:creationId xmlns:a16="http://schemas.microsoft.com/office/drawing/2014/main" id="{00000000-0008-0000-1B00-00000198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8</xdr:row>
          <xdr:rowOff>69850</xdr:rowOff>
        </xdr:from>
        <xdr:to>
          <xdr:col>0</xdr:col>
          <xdr:colOff>488950</xdr:colOff>
          <xdr:row>8</xdr:row>
          <xdr:rowOff>374650</xdr:rowOff>
        </xdr:to>
        <xdr:sp macro="" textlink="">
          <xdr:nvSpPr>
            <xdr:cNvPr id="169986" name="Object 2" hidden="1">
              <a:extLst>
                <a:ext uri="{63B3BB69-23CF-44E3-9099-C40C66FF867C}">
                  <a14:compatExt spid="_x0000_s169986"/>
                </a:ext>
                <a:ext uri="{FF2B5EF4-FFF2-40B4-BE49-F238E27FC236}">
                  <a16:creationId xmlns:a16="http://schemas.microsoft.com/office/drawing/2014/main" id="{00000000-0008-0000-1B00-00000298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2832100</xdr:colOff>
          <xdr:row>23</xdr:row>
          <xdr:rowOff>139700</xdr:rowOff>
        </xdr:from>
        <xdr:to>
          <xdr:col>2</xdr:col>
          <xdr:colOff>6350</xdr:colOff>
          <xdr:row>23</xdr:row>
          <xdr:rowOff>482600</xdr:rowOff>
        </xdr:to>
        <xdr:sp macro="" textlink="">
          <xdr:nvSpPr>
            <xdr:cNvPr id="169988" name="Button 4" hidden="1">
              <a:extLst>
                <a:ext uri="{63B3BB69-23CF-44E3-9099-C40C66FF867C}">
                  <a14:compatExt spid="_x0000_s169988"/>
                </a:ext>
                <a:ext uri="{FF2B5EF4-FFF2-40B4-BE49-F238E27FC236}">
                  <a16:creationId xmlns:a16="http://schemas.microsoft.com/office/drawing/2014/main" id="{00000000-0008-0000-1B00-00000498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2</xdr:col>
      <xdr:colOff>9058276</xdr:colOff>
      <xdr:row>30</xdr:row>
      <xdr:rowOff>179614</xdr:rowOff>
    </xdr:from>
    <xdr:to>
      <xdr:col>3</xdr:col>
      <xdr:colOff>9526</xdr:colOff>
      <xdr:row>32</xdr:row>
      <xdr:rowOff>27215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12725401" y="7037614"/>
          <a:ext cx="1047750" cy="30480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63500</xdr:colOff>
          <xdr:row>9</xdr:row>
          <xdr:rowOff>12700</xdr:rowOff>
        </xdr:from>
        <xdr:to>
          <xdr:col>0</xdr:col>
          <xdr:colOff>450850</xdr:colOff>
          <xdr:row>10</xdr:row>
          <xdr:rowOff>0</xdr:rowOff>
        </xdr:to>
        <xdr:sp macro="" textlink="">
          <xdr:nvSpPr>
            <xdr:cNvPr id="171009" name="Object 1" hidden="1">
              <a:extLst>
                <a:ext uri="{63B3BB69-23CF-44E3-9099-C40C66FF867C}">
                  <a14:compatExt spid="_x0000_s171009"/>
                </a:ext>
                <a:ext uri="{FF2B5EF4-FFF2-40B4-BE49-F238E27FC236}">
                  <a16:creationId xmlns:a16="http://schemas.microsoft.com/office/drawing/2014/main" id="{00000000-0008-0000-1C00-0000019C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10</xdr:row>
          <xdr:rowOff>12700</xdr:rowOff>
        </xdr:from>
        <xdr:to>
          <xdr:col>0</xdr:col>
          <xdr:colOff>488950</xdr:colOff>
          <xdr:row>11</xdr:row>
          <xdr:rowOff>25400</xdr:rowOff>
        </xdr:to>
        <xdr:sp macro="" textlink="">
          <xdr:nvSpPr>
            <xdr:cNvPr id="171010" name="Object 2" hidden="1">
              <a:extLst>
                <a:ext uri="{63B3BB69-23CF-44E3-9099-C40C66FF867C}">
                  <a14:compatExt spid="_x0000_s171010"/>
                </a:ext>
                <a:ext uri="{FF2B5EF4-FFF2-40B4-BE49-F238E27FC236}">
                  <a16:creationId xmlns:a16="http://schemas.microsoft.com/office/drawing/2014/main" id="{00000000-0008-0000-1C00-0000029C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82550</xdr:colOff>
          <xdr:row>11</xdr:row>
          <xdr:rowOff>6350</xdr:rowOff>
        </xdr:from>
        <xdr:to>
          <xdr:col>0</xdr:col>
          <xdr:colOff>450850</xdr:colOff>
          <xdr:row>12</xdr:row>
          <xdr:rowOff>0</xdr:rowOff>
        </xdr:to>
        <xdr:sp macro="" textlink="">
          <xdr:nvSpPr>
            <xdr:cNvPr id="171011" name="Object 3" hidden="1">
              <a:extLst>
                <a:ext uri="{63B3BB69-23CF-44E3-9099-C40C66FF867C}">
                  <a14:compatExt spid="_x0000_s171011"/>
                </a:ext>
                <a:ext uri="{FF2B5EF4-FFF2-40B4-BE49-F238E27FC236}">
                  <a16:creationId xmlns:a16="http://schemas.microsoft.com/office/drawing/2014/main" id="{00000000-0008-0000-1C00-0000039C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114300</xdr:rowOff>
        </xdr:from>
        <xdr:to>
          <xdr:col>1</xdr:col>
          <xdr:colOff>882650</xdr:colOff>
          <xdr:row>27</xdr:row>
          <xdr:rowOff>457200</xdr:rowOff>
        </xdr:to>
        <xdr:sp macro="" textlink="">
          <xdr:nvSpPr>
            <xdr:cNvPr id="171015" name="Button 7" hidden="1">
              <a:extLst>
                <a:ext uri="{63B3BB69-23CF-44E3-9099-C40C66FF867C}">
                  <a14:compatExt spid="_x0000_s171015"/>
                </a:ext>
                <a:ext uri="{FF2B5EF4-FFF2-40B4-BE49-F238E27FC236}">
                  <a16:creationId xmlns:a16="http://schemas.microsoft.com/office/drawing/2014/main" id="{00000000-0008-0000-1C00-0000079C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2</xdr:col>
      <xdr:colOff>4654550</xdr:colOff>
      <xdr:row>23</xdr:row>
      <xdr:rowOff>143934</xdr:rowOff>
    </xdr:from>
    <xdr:to>
      <xdr:col>2</xdr:col>
      <xdr:colOff>5818505</xdr:colOff>
      <xdr:row>25</xdr:row>
      <xdr:rowOff>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D00-000002000000}"/>
            </a:ext>
          </a:extLst>
        </xdr:cNvPr>
        <xdr:cNvSpPr/>
      </xdr:nvSpPr>
      <xdr:spPr>
        <a:xfrm>
          <a:off x="8735483" y="6536267"/>
          <a:ext cx="1163955" cy="313266"/>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3041650</xdr:colOff>
          <xdr:row>20</xdr:row>
          <xdr:rowOff>101600</xdr:rowOff>
        </xdr:from>
        <xdr:to>
          <xdr:col>1</xdr:col>
          <xdr:colOff>844550</xdr:colOff>
          <xdr:row>20</xdr:row>
          <xdr:rowOff>444500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1D00-00000210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2</xdr:col>
      <xdr:colOff>5319468</xdr:colOff>
      <xdr:row>24</xdr:row>
      <xdr:rowOff>152399</xdr:rowOff>
    </xdr:from>
    <xdr:to>
      <xdr:col>3</xdr:col>
      <xdr:colOff>18318</xdr:colOff>
      <xdr:row>26</xdr:row>
      <xdr:rowOff>72534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E00-000002000000}"/>
            </a:ext>
          </a:extLst>
        </xdr:cNvPr>
        <xdr:cNvSpPr/>
      </xdr:nvSpPr>
      <xdr:spPr>
        <a:xfrm>
          <a:off x="9110418" y="6334124"/>
          <a:ext cx="1328250" cy="37733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editAs="oneCell">
    <xdr:from>
      <xdr:col>1</xdr:col>
      <xdr:colOff>7620</xdr:colOff>
      <xdr:row>21</xdr:row>
      <xdr:rowOff>76200</xdr:rowOff>
    </xdr:from>
    <xdr:to>
      <xdr:col>2</xdr:col>
      <xdr:colOff>7620</xdr:colOff>
      <xdr:row>22</xdr:row>
      <xdr:rowOff>40005</xdr:rowOff>
    </xdr:to>
    <xdr:sp macro="" textlink="">
      <xdr:nvSpPr>
        <xdr:cNvPr id="3" name="CommandButton1" hidden="1">
          <a:extLst>
            <a:ext uri="{63B3BB69-23CF-44E3-9099-C40C66FF867C}">
              <a14:compatExt xmlns:a14="http://schemas.microsoft.com/office/drawing/2010/main" spid="_x0000_s200705"/>
            </a:ext>
            <a:ext uri="{FF2B5EF4-FFF2-40B4-BE49-F238E27FC236}">
              <a16:creationId xmlns:a16="http://schemas.microsoft.com/office/drawing/2014/main" id="{00000000-0008-0000-1E00-00000300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xdr:from>
          <xdr:col>0</xdr:col>
          <xdr:colOff>2933700</xdr:colOff>
          <xdr:row>21</xdr:row>
          <xdr:rowOff>76200</xdr:rowOff>
        </xdr:from>
        <xdr:to>
          <xdr:col>2</xdr:col>
          <xdr:colOff>25400</xdr:colOff>
          <xdr:row>21</xdr:row>
          <xdr:rowOff>419100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1E00-000001A8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2</xdr:col>
      <xdr:colOff>5155406</xdr:colOff>
      <xdr:row>27</xdr:row>
      <xdr:rowOff>171450</xdr:rowOff>
    </xdr:from>
    <xdr:to>
      <xdr:col>2</xdr:col>
      <xdr:colOff>6441281</xdr:colOff>
      <xdr:row>29</xdr:row>
      <xdr:rowOff>47625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9346406" y="8362950"/>
          <a:ext cx="1285875" cy="33337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3200400</xdr:colOff>
          <xdr:row>24</xdr:row>
          <xdr:rowOff>101600</xdr:rowOff>
        </xdr:from>
        <xdr:to>
          <xdr:col>2</xdr:col>
          <xdr:colOff>50800</xdr:colOff>
          <xdr:row>24</xdr:row>
          <xdr:rowOff>444500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1F00-00000364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2</xdr:col>
      <xdr:colOff>5229225</xdr:colOff>
      <xdr:row>23</xdr:row>
      <xdr:rowOff>139791</xdr:rowOff>
    </xdr:from>
    <xdr:to>
      <xdr:col>2</xdr:col>
      <xdr:colOff>6344473</xdr:colOff>
      <xdr:row>24</xdr:row>
      <xdr:rowOff>47625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000-000002000000}"/>
            </a:ext>
          </a:extLst>
        </xdr:cNvPr>
        <xdr:cNvSpPr/>
      </xdr:nvSpPr>
      <xdr:spPr>
        <a:xfrm>
          <a:off x="8848725" y="6369141"/>
          <a:ext cx="1115248" cy="307884"/>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2730500</xdr:colOff>
          <xdr:row>20</xdr:row>
          <xdr:rowOff>44450</xdr:rowOff>
        </xdr:from>
        <xdr:to>
          <xdr:col>1</xdr:col>
          <xdr:colOff>869950</xdr:colOff>
          <xdr:row>20</xdr:row>
          <xdr:rowOff>387350</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000-000003B4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2</xdr:col>
      <xdr:colOff>5581650</xdr:colOff>
      <xdr:row>26</xdr:row>
      <xdr:rowOff>175418</xdr:rowOff>
    </xdr:from>
    <xdr:to>
      <xdr:col>2</xdr:col>
      <xdr:colOff>6757193</xdr:colOff>
      <xdr:row>28</xdr:row>
      <xdr:rowOff>57149</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100-000002000000}"/>
            </a:ext>
          </a:extLst>
        </xdr:cNvPr>
        <xdr:cNvSpPr/>
      </xdr:nvSpPr>
      <xdr:spPr>
        <a:xfrm>
          <a:off x="9420225" y="7928768"/>
          <a:ext cx="1175543" cy="33893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63500</xdr:colOff>
          <xdr:row>8</xdr:row>
          <xdr:rowOff>76200</xdr:rowOff>
        </xdr:from>
        <xdr:to>
          <xdr:col>0</xdr:col>
          <xdr:colOff>488950</xdr:colOff>
          <xdr:row>8</xdr:row>
          <xdr:rowOff>368300</xdr:rowOff>
        </xdr:to>
        <xdr:sp macro="" textlink="">
          <xdr:nvSpPr>
            <xdr:cNvPr id="112641" name="Object 1" hidden="1">
              <a:extLst>
                <a:ext uri="{63B3BB69-23CF-44E3-9099-C40C66FF867C}">
                  <a14:compatExt spid="_x0000_s112641"/>
                </a:ext>
                <a:ext uri="{FF2B5EF4-FFF2-40B4-BE49-F238E27FC236}">
                  <a16:creationId xmlns:a16="http://schemas.microsoft.com/office/drawing/2014/main" id="{00000000-0008-0000-2100-000001B801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3244850</xdr:colOff>
          <xdr:row>8</xdr:row>
          <xdr:rowOff>241300</xdr:rowOff>
        </xdr:from>
        <xdr:to>
          <xdr:col>2</xdr:col>
          <xdr:colOff>3797300</xdr:colOff>
          <xdr:row>8</xdr:row>
          <xdr:rowOff>457200</xdr:rowOff>
        </xdr:to>
        <xdr:sp macro="" textlink="">
          <xdr:nvSpPr>
            <xdr:cNvPr id="112645" name="Object 5" hidden="1">
              <a:extLst>
                <a:ext uri="{63B3BB69-23CF-44E3-9099-C40C66FF867C}">
                  <a14:compatExt spid="_x0000_s112645"/>
                </a:ext>
                <a:ext uri="{FF2B5EF4-FFF2-40B4-BE49-F238E27FC236}">
                  <a16:creationId xmlns:a16="http://schemas.microsoft.com/office/drawing/2014/main" id="{00000000-0008-0000-2100-000005B8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2971800</xdr:colOff>
          <xdr:row>23</xdr:row>
          <xdr:rowOff>25400</xdr:rowOff>
        </xdr:from>
        <xdr:to>
          <xdr:col>2</xdr:col>
          <xdr:colOff>6350</xdr:colOff>
          <xdr:row>23</xdr:row>
          <xdr:rowOff>368300</xdr:rowOff>
        </xdr:to>
        <xdr:sp macro="" textlink="">
          <xdr:nvSpPr>
            <xdr:cNvPr id="112653" name="Button 13" hidden="1">
              <a:extLst>
                <a:ext uri="{63B3BB69-23CF-44E3-9099-C40C66FF867C}">
                  <a14:compatExt spid="_x0000_s112653"/>
                </a:ext>
                <a:ext uri="{FF2B5EF4-FFF2-40B4-BE49-F238E27FC236}">
                  <a16:creationId xmlns:a16="http://schemas.microsoft.com/office/drawing/2014/main" id="{00000000-0008-0000-2100-00000DB8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2</xdr:col>
      <xdr:colOff>6423659</xdr:colOff>
      <xdr:row>29</xdr:row>
      <xdr:rowOff>185057</xdr:rowOff>
    </xdr:from>
    <xdr:to>
      <xdr:col>2</xdr:col>
      <xdr:colOff>7487194</xdr:colOff>
      <xdr:row>31</xdr:row>
      <xdr:rowOff>38100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200-000002000000}"/>
            </a:ext>
          </a:extLst>
        </xdr:cNvPr>
        <xdr:cNvSpPr/>
      </xdr:nvSpPr>
      <xdr:spPr>
        <a:xfrm>
          <a:off x="10195559" y="7896497"/>
          <a:ext cx="1063535" cy="310243"/>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76200</xdr:colOff>
          <xdr:row>10</xdr:row>
          <xdr:rowOff>63500</xdr:rowOff>
        </xdr:from>
        <xdr:to>
          <xdr:col>0</xdr:col>
          <xdr:colOff>527050</xdr:colOff>
          <xdr:row>10</xdr:row>
          <xdr:rowOff>387350</xdr:rowOff>
        </xdr:to>
        <xdr:sp macro="" textlink="">
          <xdr:nvSpPr>
            <xdr:cNvPr id="114693" name="Object 5" hidden="1">
              <a:extLst>
                <a:ext uri="{63B3BB69-23CF-44E3-9099-C40C66FF867C}">
                  <a14:compatExt spid="_x0000_s114693"/>
                </a:ext>
                <a:ext uri="{FF2B5EF4-FFF2-40B4-BE49-F238E27FC236}">
                  <a16:creationId xmlns:a16="http://schemas.microsoft.com/office/drawing/2014/main" id="{00000000-0008-0000-2200-000005C001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82550</xdr:colOff>
          <xdr:row>9</xdr:row>
          <xdr:rowOff>63500</xdr:rowOff>
        </xdr:from>
        <xdr:to>
          <xdr:col>0</xdr:col>
          <xdr:colOff>501650</xdr:colOff>
          <xdr:row>9</xdr:row>
          <xdr:rowOff>374650</xdr:rowOff>
        </xdr:to>
        <xdr:sp macro="" textlink="">
          <xdr:nvSpPr>
            <xdr:cNvPr id="114698" name="Object 10" hidden="1">
              <a:extLst>
                <a:ext uri="{63B3BB69-23CF-44E3-9099-C40C66FF867C}">
                  <a14:compatExt spid="_x0000_s114698"/>
                </a:ext>
                <a:ext uri="{FF2B5EF4-FFF2-40B4-BE49-F238E27FC236}">
                  <a16:creationId xmlns:a16="http://schemas.microsoft.com/office/drawing/2014/main" id="{00000000-0008-0000-2200-00000AC001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2870200</xdr:colOff>
          <xdr:row>26</xdr:row>
          <xdr:rowOff>146050</xdr:rowOff>
        </xdr:from>
        <xdr:to>
          <xdr:col>1</xdr:col>
          <xdr:colOff>850900</xdr:colOff>
          <xdr:row>26</xdr:row>
          <xdr:rowOff>488950</xdr:rowOff>
        </xdr:to>
        <xdr:sp macro="" textlink="">
          <xdr:nvSpPr>
            <xdr:cNvPr id="114699" name="Button 11" hidden="1">
              <a:extLst>
                <a:ext uri="{63B3BB69-23CF-44E3-9099-C40C66FF867C}">
                  <a14:compatExt spid="_x0000_s114699"/>
                </a:ext>
                <a:ext uri="{FF2B5EF4-FFF2-40B4-BE49-F238E27FC236}">
                  <a16:creationId xmlns:a16="http://schemas.microsoft.com/office/drawing/2014/main" id="{00000000-0008-0000-2200-00000BC0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xdr:from>
      <xdr:col>2</xdr:col>
      <xdr:colOff>5162550</xdr:colOff>
      <xdr:row>25</xdr:row>
      <xdr:rowOff>167640</xdr:rowOff>
    </xdr:from>
    <xdr:to>
      <xdr:col>2</xdr:col>
      <xdr:colOff>6259460</xdr:colOff>
      <xdr:row>27</xdr:row>
      <xdr:rowOff>21430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300-000002000000}"/>
            </a:ext>
          </a:extLst>
        </xdr:cNvPr>
        <xdr:cNvSpPr/>
      </xdr:nvSpPr>
      <xdr:spPr>
        <a:xfrm>
          <a:off x="9763125" y="6692265"/>
          <a:ext cx="1096910" cy="31099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3727450</xdr:colOff>
          <xdr:row>22</xdr:row>
          <xdr:rowOff>114300</xdr:rowOff>
        </xdr:from>
        <xdr:to>
          <xdr:col>2</xdr:col>
          <xdr:colOff>12700</xdr:colOff>
          <xdr:row>22</xdr:row>
          <xdr:rowOff>457200</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2300-000003F001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2</xdr:col>
      <xdr:colOff>6128657</xdr:colOff>
      <xdr:row>28</xdr:row>
      <xdr:rowOff>123183</xdr:rowOff>
    </xdr:from>
    <xdr:to>
      <xdr:col>2</xdr:col>
      <xdr:colOff>7347857</xdr:colOff>
      <xdr:row>30</xdr:row>
      <xdr:rowOff>119744</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400-000002000000}"/>
            </a:ext>
          </a:extLst>
        </xdr:cNvPr>
        <xdr:cNvSpPr/>
      </xdr:nvSpPr>
      <xdr:spPr>
        <a:xfrm>
          <a:off x="9982200" y="7873812"/>
          <a:ext cx="1219200" cy="453761"/>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107950</xdr:colOff>
          <xdr:row>9</xdr:row>
          <xdr:rowOff>114300</xdr:rowOff>
        </xdr:from>
        <xdr:to>
          <xdr:col>0</xdr:col>
          <xdr:colOff>527050</xdr:colOff>
          <xdr:row>9</xdr:row>
          <xdr:rowOff>387350</xdr:rowOff>
        </xdr:to>
        <xdr:sp macro="" textlink="">
          <xdr:nvSpPr>
            <xdr:cNvPr id="131078" name="Object 6" hidden="1">
              <a:extLst>
                <a:ext uri="{63B3BB69-23CF-44E3-9099-C40C66FF867C}">
                  <a14:compatExt spid="_x0000_s131078"/>
                </a:ext>
                <a:ext uri="{FF2B5EF4-FFF2-40B4-BE49-F238E27FC236}">
                  <a16:creationId xmlns:a16="http://schemas.microsoft.com/office/drawing/2014/main" id="{00000000-0008-0000-2400-00000600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2978150</xdr:colOff>
          <xdr:row>25</xdr:row>
          <xdr:rowOff>114300</xdr:rowOff>
        </xdr:from>
        <xdr:to>
          <xdr:col>2</xdr:col>
          <xdr:colOff>6350</xdr:colOff>
          <xdr:row>25</xdr:row>
          <xdr:rowOff>463550</xdr:rowOff>
        </xdr:to>
        <xdr:sp macro="" textlink="">
          <xdr:nvSpPr>
            <xdr:cNvPr id="131079" name="Button 7" hidden="1">
              <a:extLst>
                <a:ext uri="{63B3BB69-23CF-44E3-9099-C40C66FF867C}">
                  <a14:compatExt spid="_x0000_s131079"/>
                </a:ext>
                <a:ext uri="{FF2B5EF4-FFF2-40B4-BE49-F238E27FC236}">
                  <a16:creationId xmlns:a16="http://schemas.microsoft.com/office/drawing/2014/main" id="{00000000-0008-0000-2400-00000700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2</xdr:col>
      <xdr:colOff>3933825</xdr:colOff>
      <xdr:row>24</xdr:row>
      <xdr:rowOff>66675</xdr:rowOff>
    </xdr:from>
    <xdr:to>
      <xdr:col>2</xdr:col>
      <xdr:colOff>5110734</xdr:colOff>
      <xdr:row>26</xdr:row>
      <xdr:rowOff>180975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500-000002000000}"/>
            </a:ext>
          </a:extLst>
        </xdr:cNvPr>
        <xdr:cNvSpPr/>
      </xdr:nvSpPr>
      <xdr:spPr>
        <a:xfrm>
          <a:off x="7534275" y="6438900"/>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5435070</xdr:colOff>
      <xdr:row>24</xdr:row>
      <xdr:rowOff>90489</xdr:rowOff>
    </xdr:from>
    <xdr:to>
      <xdr:col>2</xdr:col>
      <xdr:colOff>6728882</xdr:colOff>
      <xdr:row>26</xdr:row>
      <xdr:rowOff>171451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2500-000003000000}"/>
            </a:ext>
          </a:extLst>
        </xdr:cNvPr>
        <xdr:cNvSpPr/>
      </xdr:nvSpPr>
      <xdr:spPr>
        <a:xfrm>
          <a:off x="9035520" y="6462714"/>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0</xdr:col>
      <xdr:colOff>66675</xdr:colOff>
      <xdr:row>20</xdr:row>
      <xdr:rowOff>2381</xdr:rowOff>
    </xdr:from>
    <xdr:to>
      <xdr:col>0</xdr:col>
      <xdr:colOff>394212</xdr:colOff>
      <xdr:row>20</xdr:row>
      <xdr:rowOff>250031</xdr:rowOff>
    </xdr:to>
    <xdr:pic>
      <xdr:nvPicPr>
        <xdr:cNvPr id="4" name="Picture 1">
          <a:extLst>
            <a:ext uri="{FF2B5EF4-FFF2-40B4-BE49-F238E27FC236}">
              <a16:creationId xmlns:a16="http://schemas.microsoft.com/office/drawing/2014/main" id="{00000000-0008-0000-2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6675" y="4907756"/>
          <a:ext cx="327537" cy="247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2698750</xdr:colOff>
          <xdr:row>18</xdr:row>
          <xdr:rowOff>127000</xdr:rowOff>
        </xdr:from>
        <xdr:to>
          <xdr:col>1</xdr:col>
          <xdr:colOff>869950</xdr:colOff>
          <xdr:row>18</xdr:row>
          <xdr:rowOff>469900</xdr:rowOff>
        </xdr:to>
        <xdr:sp macro="" textlink="">
          <xdr:nvSpPr>
            <xdr:cNvPr id="143363" name="Button 3" hidden="1">
              <a:extLst>
                <a:ext uri="{63B3BB69-23CF-44E3-9099-C40C66FF867C}">
                  <a14:compatExt spid="_x0000_s143363"/>
                </a:ext>
                <a:ext uri="{FF2B5EF4-FFF2-40B4-BE49-F238E27FC236}">
                  <a16:creationId xmlns:a16="http://schemas.microsoft.com/office/drawing/2014/main" id="{00000000-0008-0000-2500-00000330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0</xdr:col>
      <xdr:colOff>66675</xdr:colOff>
      <xdr:row>22</xdr:row>
      <xdr:rowOff>85725</xdr:rowOff>
    </xdr:from>
    <xdr:to>
      <xdr:col>0</xdr:col>
      <xdr:colOff>457200</xdr:colOff>
      <xdr:row>24</xdr:row>
      <xdr:rowOff>0</xdr:rowOff>
    </xdr:to>
    <xdr:pic>
      <xdr:nvPicPr>
        <xdr:cNvPr id="4" name="Picture 4">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210175"/>
          <a:ext cx="3905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82550</xdr:colOff>
          <xdr:row>7</xdr:row>
          <xdr:rowOff>101600</xdr:rowOff>
        </xdr:from>
        <xdr:to>
          <xdr:col>0</xdr:col>
          <xdr:colOff>596900</xdr:colOff>
          <xdr:row>7</xdr:row>
          <xdr:rowOff>311150</xdr:rowOff>
        </xdr:to>
        <xdr:sp macro="" textlink="">
          <xdr:nvSpPr>
            <xdr:cNvPr id="149505" name="Object 1" hidden="1">
              <a:extLst>
                <a:ext uri="{63B3BB69-23CF-44E3-9099-C40C66FF867C}">
                  <a14:compatExt spid="_x0000_s149505"/>
                </a:ext>
                <a:ext uri="{FF2B5EF4-FFF2-40B4-BE49-F238E27FC236}">
                  <a16:creationId xmlns:a16="http://schemas.microsoft.com/office/drawing/2014/main" id="{00000000-0008-0000-2600-00000148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7</xdr:row>
          <xdr:rowOff>260350</xdr:rowOff>
        </xdr:from>
        <xdr:to>
          <xdr:col>3</xdr:col>
          <xdr:colOff>0</xdr:colOff>
          <xdr:row>8</xdr:row>
          <xdr:rowOff>0</xdr:rowOff>
        </xdr:to>
        <xdr:sp macro="" textlink="">
          <xdr:nvSpPr>
            <xdr:cNvPr id="149512" name="Object 8" hidden="1">
              <a:extLst>
                <a:ext uri="{63B3BB69-23CF-44E3-9099-C40C66FF867C}">
                  <a14:compatExt spid="_x0000_s149512"/>
                </a:ext>
                <a:ext uri="{FF2B5EF4-FFF2-40B4-BE49-F238E27FC236}">
                  <a16:creationId xmlns:a16="http://schemas.microsoft.com/office/drawing/2014/main" id="{00000000-0008-0000-2600-00000848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3473450</xdr:colOff>
          <xdr:row>7</xdr:row>
          <xdr:rowOff>196850</xdr:rowOff>
        </xdr:from>
        <xdr:to>
          <xdr:col>2</xdr:col>
          <xdr:colOff>4025900</xdr:colOff>
          <xdr:row>7</xdr:row>
          <xdr:rowOff>444500</xdr:rowOff>
        </xdr:to>
        <xdr:sp macro="" textlink="">
          <xdr:nvSpPr>
            <xdr:cNvPr id="149513" name="Object 9" hidden="1">
              <a:extLst>
                <a:ext uri="{63B3BB69-23CF-44E3-9099-C40C66FF867C}">
                  <a14:compatExt spid="_x0000_s149513"/>
                </a:ext>
                <a:ext uri="{FF2B5EF4-FFF2-40B4-BE49-F238E27FC236}">
                  <a16:creationId xmlns:a16="http://schemas.microsoft.com/office/drawing/2014/main" id="{00000000-0008-0000-2600-00000948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xdr:col>
      <xdr:colOff>3943350</xdr:colOff>
      <xdr:row>27</xdr:row>
      <xdr:rowOff>180975</xdr:rowOff>
    </xdr:from>
    <xdr:to>
      <xdr:col>2</xdr:col>
      <xdr:colOff>5120259</xdr:colOff>
      <xdr:row>30</xdr:row>
      <xdr:rowOff>66675</xdr:rowOff>
    </xdr:to>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2600-00000B000000}"/>
            </a:ext>
          </a:extLst>
        </xdr:cNvPr>
        <xdr:cNvSpPr/>
      </xdr:nvSpPr>
      <xdr:spPr>
        <a:xfrm>
          <a:off x="7734300" y="6934200"/>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5444595</xdr:colOff>
      <xdr:row>27</xdr:row>
      <xdr:rowOff>204789</xdr:rowOff>
    </xdr:from>
    <xdr:to>
      <xdr:col>2</xdr:col>
      <xdr:colOff>6738407</xdr:colOff>
      <xdr:row>30</xdr:row>
      <xdr:rowOff>57151</xdr:rowOff>
    </xdr:to>
    <xdr:sp macro="" textlink="">
      <xdr:nvSpPr>
        <xdr:cNvPr id="12" name="Rectangle 11">
          <a:hlinkClick xmlns:r="http://schemas.openxmlformats.org/officeDocument/2006/relationships" r:id="rId3"/>
          <a:extLst>
            <a:ext uri="{FF2B5EF4-FFF2-40B4-BE49-F238E27FC236}">
              <a16:creationId xmlns:a16="http://schemas.microsoft.com/office/drawing/2014/main" id="{00000000-0008-0000-2600-00000C000000}"/>
            </a:ext>
          </a:extLst>
        </xdr:cNvPr>
        <xdr:cNvSpPr/>
      </xdr:nvSpPr>
      <xdr:spPr>
        <a:xfrm>
          <a:off x="9235545" y="6958014"/>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6350</xdr:colOff>
          <xdr:row>21</xdr:row>
          <xdr:rowOff>107950</xdr:rowOff>
        </xdr:from>
        <xdr:to>
          <xdr:col>1</xdr:col>
          <xdr:colOff>889000</xdr:colOff>
          <xdr:row>21</xdr:row>
          <xdr:rowOff>450850</xdr:rowOff>
        </xdr:to>
        <xdr:sp macro="" textlink="">
          <xdr:nvSpPr>
            <xdr:cNvPr id="149514" name="Button 10" hidden="1">
              <a:extLst>
                <a:ext uri="{63B3BB69-23CF-44E3-9099-C40C66FF867C}">
                  <a14:compatExt spid="_x0000_s149514"/>
                </a:ext>
                <a:ext uri="{FF2B5EF4-FFF2-40B4-BE49-F238E27FC236}">
                  <a16:creationId xmlns:a16="http://schemas.microsoft.com/office/drawing/2014/main" id="{00000000-0008-0000-2600-00000A48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0</xdr:col>
      <xdr:colOff>0</xdr:colOff>
      <xdr:row>22</xdr:row>
      <xdr:rowOff>0</xdr:rowOff>
    </xdr:from>
    <xdr:to>
      <xdr:col>0</xdr:col>
      <xdr:colOff>292133</xdr:colOff>
      <xdr:row>22</xdr:row>
      <xdr:rowOff>274319</xdr:rowOff>
    </xdr:to>
    <xdr:pic>
      <xdr:nvPicPr>
        <xdr:cNvPr id="7" name="Picture 243">
          <a:extLst>
            <a:ext uri="{FF2B5EF4-FFF2-40B4-BE49-F238E27FC236}">
              <a16:creationId xmlns:a16="http://schemas.microsoft.com/office/drawing/2014/main" id="{00000000-0008-0000-2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5226844"/>
          <a:ext cx="292133" cy="274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3810000</xdr:colOff>
      <xdr:row>26</xdr:row>
      <xdr:rowOff>123825</xdr:rowOff>
    </xdr:from>
    <xdr:to>
      <xdr:col>2</xdr:col>
      <xdr:colOff>4986909</xdr:colOff>
      <xdr:row>29</xdr:row>
      <xdr:rowOff>9525</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2700-000006000000}"/>
            </a:ext>
          </a:extLst>
        </xdr:cNvPr>
        <xdr:cNvSpPr/>
      </xdr:nvSpPr>
      <xdr:spPr>
        <a:xfrm>
          <a:off x="7658100" y="5972175"/>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5311245</xdr:colOff>
      <xdr:row>26</xdr:row>
      <xdr:rowOff>147639</xdr:rowOff>
    </xdr:from>
    <xdr:to>
      <xdr:col>2</xdr:col>
      <xdr:colOff>6605057</xdr:colOff>
      <xdr:row>29</xdr:row>
      <xdr:rowOff>1</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2700-000008000000}"/>
            </a:ext>
          </a:extLst>
        </xdr:cNvPr>
        <xdr:cNvSpPr/>
      </xdr:nvSpPr>
      <xdr:spPr>
        <a:xfrm>
          <a:off x="9159345" y="5995989"/>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2940050</xdr:colOff>
          <xdr:row>20</xdr:row>
          <xdr:rowOff>146050</xdr:rowOff>
        </xdr:from>
        <xdr:to>
          <xdr:col>1</xdr:col>
          <xdr:colOff>876300</xdr:colOff>
          <xdr:row>20</xdr:row>
          <xdr:rowOff>488950</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2700-00000444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0</xdr:col>
      <xdr:colOff>0</xdr:colOff>
      <xdr:row>26</xdr:row>
      <xdr:rowOff>0</xdr:rowOff>
    </xdr:from>
    <xdr:to>
      <xdr:col>0</xdr:col>
      <xdr:colOff>292133</xdr:colOff>
      <xdr:row>26</xdr:row>
      <xdr:rowOff>274319</xdr:rowOff>
    </xdr:to>
    <xdr:pic>
      <xdr:nvPicPr>
        <xdr:cNvPr id="7" name="Picture 243">
          <a:extLst>
            <a:ext uri="{FF2B5EF4-FFF2-40B4-BE49-F238E27FC236}">
              <a16:creationId xmlns:a16="http://schemas.microsoft.com/office/drawing/2014/main" id="{00000000-0008-0000-2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155656"/>
          <a:ext cx="292133" cy="2743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3419475</xdr:colOff>
      <xdr:row>30</xdr:row>
      <xdr:rowOff>104775</xdr:rowOff>
    </xdr:from>
    <xdr:to>
      <xdr:col>2</xdr:col>
      <xdr:colOff>4596384</xdr:colOff>
      <xdr:row>32</xdr:row>
      <xdr:rowOff>219075</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2800-000006000000}"/>
            </a:ext>
          </a:extLst>
        </xdr:cNvPr>
        <xdr:cNvSpPr/>
      </xdr:nvSpPr>
      <xdr:spPr>
        <a:xfrm>
          <a:off x="7248525" y="7524750"/>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4920720</xdr:colOff>
      <xdr:row>30</xdr:row>
      <xdr:rowOff>128589</xdr:rowOff>
    </xdr:from>
    <xdr:to>
      <xdr:col>2</xdr:col>
      <xdr:colOff>6214532</xdr:colOff>
      <xdr:row>32</xdr:row>
      <xdr:rowOff>209551</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00000000-0008-0000-2800-000008000000}"/>
            </a:ext>
          </a:extLst>
        </xdr:cNvPr>
        <xdr:cNvSpPr/>
      </xdr:nvSpPr>
      <xdr:spPr>
        <a:xfrm>
          <a:off x="8749770" y="7548564"/>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2940050</xdr:colOff>
          <xdr:row>23</xdr:row>
          <xdr:rowOff>114300</xdr:rowOff>
        </xdr:from>
        <xdr:to>
          <xdr:col>1</xdr:col>
          <xdr:colOff>882650</xdr:colOff>
          <xdr:row>23</xdr:row>
          <xdr:rowOff>457200</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2800-00000450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66675</xdr:colOff>
      <xdr:row>22</xdr:row>
      <xdr:rowOff>85725</xdr:rowOff>
    </xdr:from>
    <xdr:to>
      <xdr:col>0</xdr:col>
      <xdr:colOff>358808</xdr:colOff>
      <xdr:row>23</xdr:row>
      <xdr:rowOff>205263</xdr:rowOff>
    </xdr:to>
    <xdr:pic>
      <xdr:nvPicPr>
        <xdr:cNvPr id="4" name="Picture 243">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5050631"/>
          <a:ext cx="292133"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3581400</xdr:colOff>
      <xdr:row>27</xdr:row>
      <xdr:rowOff>114300</xdr:rowOff>
    </xdr:from>
    <xdr:to>
      <xdr:col>2</xdr:col>
      <xdr:colOff>4758309</xdr:colOff>
      <xdr:row>30</xdr:row>
      <xdr:rowOff>0</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2900-000006000000}"/>
            </a:ext>
          </a:extLst>
        </xdr:cNvPr>
        <xdr:cNvSpPr/>
      </xdr:nvSpPr>
      <xdr:spPr>
        <a:xfrm>
          <a:off x="7429500" y="6657975"/>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5082645</xdr:colOff>
      <xdr:row>27</xdr:row>
      <xdr:rowOff>138114</xdr:rowOff>
    </xdr:from>
    <xdr:to>
      <xdr:col>2</xdr:col>
      <xdr:colOff>6376457</xdr:colOff>
      <xdr:row>29</xdr:row>
      <xdr:rowOff>219076</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2900-000007000000}"/>
            </a:ext>
          </a:extLst>
        </xdr:cNvPr>
        <xdr:cNvSpPr/>
      </xdr:nvSpPr>
      <xdr:spPr>
        <a:xfrm>
          <a:off x="8930745" y="6681789"/>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6350</xdr:colOff>
          <xdr:row>21</xdr:row>
          <xdr:rowOff>152400</xdr:rowOff>
        </xdr:from>
        <xdr:to>
          <xdr:col>1</xdr:col>
          <xdr:colOff>889000</xdr:colOff>
          <xdr:row>21</xdr:row>
          <xdr:rowOff>495300</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00000000-0008-0000-2900-00000440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xdr:row>
          <xdr:rowOff>44450</xdr:rowOff>
        </xdr:from>
        <xdr:to>
          <xdr:col>0</xdr:col>
          <xdr:colOff>501650</xdr:colOff>
          <xdr:row>8</xdr:row>
          <xdr:rowOff>374650</xdr:rowOff>
        </xdr:to>
        <xdr:sp macro="" textlink="">
          <xdr:nvSpPr>
            <xdr:cNvPr id="150529" name="Object 1" hidden="1">
              <a:extLst>
                <a:ext uri="{63B3BB69-23CF-44E3-9099-C40C66FF867C}">
                  <a14:compatExt spid="_x0000_s150529"/>
                </a:ext>
                <a:ext uri="{FF2B5EF4-FFF2-40B4-BE49-F238E27FC236}">
                  <a16:creationId xmlns:a16="http://schemas.microsoft.com/office/drawing/2014/main" id="{00000000-0008-0000-2A00-0000014C0200}"/>
                </a:ext>
              </a:extLst>
            </xdr:cNvPr>
            <xdr:cNvSpPr/>
          </xdr:nvSpPr>
          <xdr:spPr bwMode="auto">
            <a:xfrm>
              <a:off x="0" y="0"/>
              <a:ext cx="0" cy="0"/>
            </a:xfrm>
            <a:prstGeom prst="rect">
              <a:avLst/>
            </a:prstGeom>
            <a:noFill/>
            <a:ln>
              <a:noFill/>
            </a:ln>
            <a:extLst>
              <a:ext uri="{909E8E84-426E-40DD-AFC4-6F175D3DCCD1}">
                <a14:hiddenFill>
                  <a:solidFill>
                    <a:srgbClr val="FFCC99" mc:Ignorable="a14" a14:legacySpreadsheetColorIndex="47"/>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25</xdr:row>
          <xdr:rowOff>44450</xdr:rowOff>
        </xdr:from>
        <xdr:to>
          <xdr:col>0</xdr:col>
          <xdr:colOff>463550</xdr:colOff>
          <xdr:row>25</xdr:row>
          <xdr:rowOff>273050</xdr:rowOff>
        </xdr:to>
        <xdr:sp macro="" textlink="">
          <xdr:nvSpPr>
            <xdr:cNvPr id="150531" name="Object 3" hidden="1">
              <a:extLst>
                <a:ext uri="{63B3BB69-23CF-44E3-9099-C40C66FF867C}">
                  <a14:compatExt spid="_x0000_s150531"/>
                </a:ext>
                <a:ext uri="{FF2B5EF4-FFF2-40B4-BE49-F238E27FC236}">
                  <a16:creationId xmlns:a16="http://schemas.microsoft.com/office/drawing/2014/main" id="{00000000-0008-0000-2A00-0000034C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2508250</xdr:colOff>
          <xdr:row>8</xdr:row>
          <xdr:rowOff>260350</xdr:rowOff>
        </xdr:from>
        <xdr:to>
          <xdr:col>2</xdr:col>
          <xdr:colOff>3117850</xdr:colOff>
          <xdr:row>8</xdr:row>
          <xdr:rowOff>482600</xdr:rowOff>
        </xdr:to>
        <xdr:sp macro="" textlink="">
          <xdr:nvSpPr>
            <xdr:cNvPr id="150533" name="Object 5" hidden="1">
              <a:extLst>
                <a:ext uri="{63B3BB69-23CF-44E3-9099-C40C66FF867C}">
                  <a14:compatExt spid="_x0000_s150533"/>
                </a:ext>
                <a:ext uri="{FF2B5EF4-FFF2-40B4-BE49-F238E27FC236}">
                  <a16:creationId xmlns:a16="http://schemas.microsoft.com/office/drawing/2014/main" id="{00000000-0008-0000-2A00-0000054C02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2</xdr:col>
      <xdr:colOff>4133850</xdr:colOff>
      <xdr:row>29</xdr:row>
      <xdr:rowOff>85725</xdr:rowOff>
    </xdr:from>
    <xdr:to>
      <xdr:col>2</xdr:col>
      <xdr:colOff>5310759</xdr:colOff>
      <xdr:row>31</xdr:row>
      <xdr:rowOff>200025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2A00-000008000000}"/>
            </a:ext>
          </a:extLst>
        </xdr:cNvPr>
        <xdr:cNvSpPr/>
      </xdr:nvSpPr>
      <xdr:spPr>
        <a:xfrm>
          <a:off x="7781925" y="7848600"/>
          <a:ext cx="1176909" cy="57150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BACK TO RDD</a:t>
          </a:r>
          <a:r>
            <a:rPr lang="en-US" sz="1100" b="1" baseline="0">
              <a:solidFill>
                <a:sysClr val="windowText" lastClr="000000"/>
              </a:solidFill>
            </a:rPr>
            <a:t> INTERFACE</a:t>
          </a:r>
          <a:endParaRPr lang="en-US" sz="1100" b="1">
            <a:solidFill>
              <a:sysClr val="windowText" lastClr="000000"/>
            </a:solidFill>
          </a:endParaRPr>
        </a:p>
      </xdr:txBody>
    </xdr:sp>
    <xdr:clientData/>
  </xdr:twoCellAnchor>
  <xdr:twoCellAnchor>
    <xdr:from>
      <xdr:col>2</xdr:col>
      <xdr:colOff>5635095</xdr:colOff>
      <xdr:row>29</xdr:row>
      <xdr:rowOff>109539</xdr:rowOff>
    </xdr:from>
    <xdr:to>
      <xdr:col>2</xdr:col>
      <xdr:colOff>6928907</xdr:colOff>
      <xdr:row>31</xdr:row>
      <xdr:rowOff>190501</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2A00-000009000000}"/>
            </a:ext>
          </a:extLst>
        </xdr:cNvPr>
        <xdr:cNvSpPr/>
      </xdr:nvSpPr>
      <xdr:spPr>
        <a:xfrm>
          <a:off x="9283170" y="7872414"/>
          <a:ext cx="1293812" cy="53816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xdr:col>
          <xdr:colOff>0</xdr:colOff>
          <xdr:row>23</xdr:row>
          <xdr:rowOff>114300</xdr:rowOff>
        </xdr:from>
        <xdr:to>
          <xdr:col>1</xdr:col>
          <xdr:colOff>889000</xdr:colOff>
          <xdr:row>23</xdr:row>
          <xdr:rowOff>457200</xdr:rowOff>
        </xdr:to>
        <xdr:sp macro="" textlink="">
          <xdr:nvSpPr>
            <xdr:cNvPr id="150534" name="Button 6" hidden="1">
              <a:extLst>
                <a:ext uri="{63B3BB69-23CF-44E3-9099-C40C66FF867C}">
                  <a14:compatExt spid="_x0000_s150534"/>
                </a:ext>
                <a:ext uri="{FF2B5EF4-FFF2-40B4-BE49-F238E27FC236}">
                  <a16:creationId xmlns:a16="http://schemas.microsoft.com/office/drawing/2014/main" id="{00000000-0008-0000-2A00-0000064C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2</xdr:col>
      <xdr:colOff>5524499</xdr:colOff>
      <xdr:row>24</xdr:row>
      <xdr:rowOff>0</xdr:rowOff>
    </xdr:from>
    <xdr:to>
      <xdr:col>2</xdr:col>
      <xdr:colOff>6906984</xdr:colOff>
      <xdr:row>25</xdr:row>
      <xdr:rowOff>55246</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2B00-000002000000}"/>
            </a:ext>
          </a:extLst>
        </xdr:cNvPr>
        <xdr:cNvSpPr/>
      </xdr:nvSpPr>
      <xdr:spPr>
        <a:xfrm>
          <a:off x="10601324" y="11223172"/>
          <a:ext cx="1382485" cy="338274"/>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0</xdr:col>
          <xdr:colOff>4127500</xdr:colOff>
          <xdr:row>20</xdr:row>
          <xdr:rowOff>139700</xdr:rowOff>
        </xdr:from>
        <xdr:to>
          <xdr:col>1</xdr:col>
          <xdr:colOff>876300</xdr:colOff>
          <xdr:row>20</xdr:row>
          <xdr:rowOff>482600</xdr:rowOff>
        </xdr:to>
        <xdr:sp macro="" textlink="">
          <xdr:nvSpPr>
            <xdr:cNvPr id="153605" name="Button 5" hidden="1">
              <a:extLst>
                <a:ext uri="{63B3BB69-23CF-44E3-9099-C40C66FF867C}">
                  <a14:compatExt spid="_x0000_s153605"/>
                </a:ext>
                <a:ext uri="{FF2B5EF4-FFF2-40B4-BE49-F238E27FC236}">
                  <a16:creationId xmlns:a16="http://schemas.microsoft.com/office/drawing/2014/main" id="{00000000-0008-0000-2B00-0000055802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400" b="1" i="0" u="none" strike="noStrike" baseline="0">
                  <a:solidFill>
                    <a:srgbClr val="FF0000"/>
                  </a:solidFill>
                  <a:latin typeface="Garamond"/>
                </a:rPr>
                <a:t>RUN</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xdr:from>
      <xdr:col>8</xdr:col>
      <xdr:colOff>161925</xdr:colOff>
      <xdr:row>21</xdr:row>
      <xdr:rowOff>9525</xdr:rowOff>
    </xdr:from>
    <xdr:to>
      <xdr:col>9</xdr:col>
      <xdr:colOff>30480</xdr:colOff>
      <xdr:row>24</xdr:row>
      <xdr:rowOff>9525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5038725" y="4962525"/>
          <a:ext cx="1003935" cy="50292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7399020</xdr:colOff>
      <xdr:row>32</xdr:row>
      <xdr:rowOff>45720</xdr:rowOff>
    </xdr:from>
    <xdr:to>
      <xdr:col>0</xdr:col>
      <xdr:colOff>8692832</xdr:colOff>
      <xdr:row>34</xdr:row>
      <xdr:rowOff>58102</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00000000-0008-0000-2D00-000006000000}"/>
            </a:ext>
          </a:extLst>
        </xdr:cNvPr>
        <xdr:cNvSpPr/>
      </xdr:nvSpPr>
      <xdr:spPr>
        <a:xfrm>
          <a:off x="7399020" y="8686800"/>
          <a:ext cx="1293812" cy="378142"/>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343958</xdr:colOff>
      <xdr:row>7</xdr:row>
      <xdr:rowOff>71701</xdr:rowOff>
    </xdr:from>
    <xdr:to>
      <xdr:col>1</xdr:col>
      <xdr:colOff>956998</xdr:colOff>
      <xdr:row>22</xdr:row>
      <xdr:rowOff>50270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2E00-000004000000}"/>
            </a:ext>
          </a:extLst>
        </xdr:cNvPr>
        <xdr:cNvSpPr/>
      </xdr:nvSpPr>
      <xdr:spPr>
        <a:xfrm>
          <a:off x="343958" y="1182951"/>
          <a:ext cx="1576123" cy="235981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0" rIns="0" rtlCol="0" anchor="ctr"/>
        <a:lstStyle/>
        <a:p>
          <a:pPr algn="ctr"/>
          <a:r>
            <a:rPr lang="en-US" sz="2200">
              <a:solidFill>
                <a:sysClr val="windowText" lastClr="000000"/>
              </a:solidFill>
            </a:rPr>
            <a:t>Individual Random Assignment Design </a:t>
          </a:r>
        </a:p>
        <a:p>
          <a:pPr algn="ctr"/>
          <a:r>
            <a:rPr lang="en-US" sz="2200">
              <a:solidFill>
                <a:sysClr val="windowText" lastClr="000000"/>
              </a:solidFill>
            </a:rPr>
            <a:t>(IRA)</a:t>
          </a:r>
        </a:p>
      </xdr:txBody>
    </xdr:sp>
    <xdr:clientData/>
  </xdr:twoCellAnchor>
  <xdr:twoCellAnchor>
    <xdr:from>
      <xdr:col>2</xdr:col>
      <xdr:colOff>436828</xdr:colOff>
      <xdr:row>7</xdr:row>
      <xdr:rowOff>74083</xdr:rowOff>
    </xdr:from>
    <xdr:to>
      <xdr:col>4</xdr:col>
      <xdr:colOff>148166</xdr:colOff>
      <xdr:row>22</xdr:row>
      <xdr:rowOff>52652</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2E00-000005000000}"/>
            </a:ext>
          </a:extLst>
        </xdr:cNvPr>
        <xdr:cNvSpPr/>
      </xdr:nvSpPr>
      <xdr:spPr>
        <a:xfrm>
          <a:off x="2257161" y="1185333"/>
          <a:ext cx="1531672" cy="235981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200">
              <a:solidFill>
                <a:sysClr val="windowText" lastClr="000000"/>
              </a:solidFill>
            </a:rPr>
            <a:t>Simple Cluster Random Assignment Design</a:t>
          </a:r>
        </a:p>
        <a:p>
          <a:pPr algn="ctr"/>
          <a:r>
            <a:rPr lang="en-US" sz="2200">
              <a:solidFill>
                <a:sysClr val="windowText" lastClr="000000"/>
              </a:solidFill>
            </a:rPr>
            <a:t>(CRA)</a:t>
          </a:r>
        </a:p>
      </xdr:txBody>
    </xdr:sp>
    <xdr:clientData/>
  </xdr:twoCellAnchor>
  <xdr:twoCellAnchor>
    <xdr:from>
      <xdr:col>4</xdr:col>
      <xdr:colOff>563034</xdr:colOff>
      <xdr:row>7</xdr:row>
      <xdr:rowOff>74083</xdr:rowOff>
    </xdr:from>
    <xdr:to>
      <xdr:col>6</xdr:col>
      <xdr:colOff>212990</xdr:colOff>
      <xdr:row>22</xdr:row>
      <xdr:rowOff>52652</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2E00-000006000000}"/>
            </a:ext>
          </a:extLst>
        </xdr:cNvPr>
        <xdr:cNvSpPr/>
      </xdr:nvSpPr>
      <xdr:spPr>
        <a:xfrm>
          <a:off x="4415367" y="1185333"/>
          <a:ext cx="1576123" cy="235981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0" rIns="0" rtlCol="0" anchor="ctr"/>
        <a:lstStyle/>
        <a:p>
          <a:pPr algn="ctr"/>
          <a:r>
            <a:rPr lang="en-US" sz="2200">
              <a:solidFill>
                <a:sysClr val="windowText" lastClr="000000"/>
              </a:solidFill>
            </a:rPr>
            <a:t> Blocked Random Assignment Design </a:t>
          </a:r>
        </a:p>
        <a:p>
          <a:pPr algn="ctr"/>
          <a:r>
            <a:rPr lang="en-US" sz="2200">
              <a:solidFill>
                <a:sysClr val="windowText" lastClr="000000"/>
              </a:solidFill>
            </a:rPr>
            <a:t>(BRA)</a:t>
          </a:r>
        </a:p>
      </xdr:txBody>
    </xdr:sp>
    <xdr:clientData/>
  </xdr:twoCellAnchor>
  <xdr:twoCellAnchor>
    <xdr:from>
      <xdr:col>9</xdr:col>
      <xdr:colOff>45508</xdr:colOff>
      <xdr:row>28</xdr:row>
      <xdr:rowOff>119593</xdr:rowOff>
    </xdr:from>
    <xdr:to>
      <xdr:col>10</xdr:col>
      <xdr:colOff>369358</xdr:colOff>
      <xdr:row>31</xdr:row>
      <xdr:rowOff>138643</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2E00-000007000000}"/>
            </a:ext>
          </a:extLst>
        </xdr:cNvPr>
        <xdr:cNvSpPr/>
      </xdr:nvSpPr>
      <xdr:spPr>
        <a:xfrm>
          <a:off x="8960908" y="4860926"/>
          <a:ext cx="1314450" cy="52705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8</xdr:col>
      <xdr:colOff>839257</xdr:colOff>
      <xdr:row>7</xdr:row>
      <xdr:rowOff>83608</xdr:rowOff>
    </xdr:from>
    <xdr:to>
      <xdr:col>10</xdr:col>
      <xdr:colOff>560916</xdr:colOff>
      <xdr:row>22</xdr:row>
      <xdr:rowOff>62177</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2E00-000008000000}"/>
            </a:ext>
          </a:extLst>
        </xdr:cNvPr>
        <xdr:cNvSpPr/>
      </xdr:nvSpPr>
      <xdr:spPr>
        <a:xfrm>
          <a:off x="8120590" y="1194858"/>
          <a:ext cx="1541993" cy="235981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200">
              <a:solidFill>
                <a:sysClr val="windowText" lastClr="000000"/>
              </a:solidFill>
            </a:rPr>
            <a:t>Interrupted</a:t>
          </a:r>
          <a:r>
            <a:rPr lang="en-US" sz="2200" baseline="0">
              <a:solidFill>
                <a:sysClr val="windowText" lastClr="000000"/>
              </a:solidFill>
            </a:rPr>
            <a:t> Time Series Design</a:t>
          </a:r>
        </a:p>
        <a:p>
          <a:pPr algn="ctr"/>
          <a:r>
            <a:rPr lang="en-US" sz="2200" baseline="0">
              <a:solidFill>
                <a:sysClr val="windowText" lastClr="000000"/>
              </a:solidFill>
            </a:rPr>
            <a:t>(ITS)</a:t>
          </a:r>
          <a:endParaRPr lang="en-US" sz="2200">
            <a:solidFill>
              <a:sysClr val="windowText" lastClr="000000"/>
            </a:solidFill>
          </a:endParaRPr>
        </a:p>
      </xdr:txBody>
    </xdr:sp>
    <xdr:clientData/>
  </xdr:twoCellAnchor>
  <xdr:twoCellAnchor>
    <xdr:from>
      <xdr:col>6</xdr:col>
      <xdr:colOff>650874</xdr:colOff>
      <xdr:row>7</xdr:row>
      <xdr:rowOff>59530</xdr:rowOff>
    </xdr:from>
    <xdr:to>
      <xdr:col>8</xdr:col>
      <xdr:colOff>411956</xdr:colOff>
      <xdr:row>22</xdr:row>
      <xdr:rowOff>38099</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2E00-000009000000}"/>
            </a:ext>
          </a:extLst>
        </xdr:cNvPr>
        <xdr:cNvSpPr/>
      </xdr:nvSpPr>
      <xdr:spPr>
        <a:xfrm>
          <a:off x="6437312" y="1226343"/>
          <a:ext cx="1689894" cy="247888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lIns="0" rIns="0" rtlCol="0" anchor="ctr"/>
        <a:lstStyle/>
        <a:p>
          <a:pPr algn="ctr"/>
          <a:r>
            <a:rPr lang="en-US" sz="2200" baseline="0">
              <a:solidFill>
                <a:sysClr val="windowText" lastClr="000000"/>
              </a:solidFill>
            </a:rPr>
            <a:t>Regression Discontinuity Design</a:t>
          </a:r>
        </a:p>
        <a:p>
          <a:pPr algn="ctr"/>
          <a:r>
            <a:rPr lang="en-US" sz="2200" baseline="0">
              <a:solidFill>
                <a:sysClr val="windowText" lastClr="000000"/>
              </a:solidFill>
            </a:rPr>
            <a:t>(RD)</a:t>
          </a:r>
          <a:endParaRPr lang="en-US" sz="2200">
            <a:solidFill>
              <a:sysClr val="windowText" lastClr="000000"/>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1261533</xdr:colOff>
      <xdr:row>5</xdr:row>
      <xdr:rowOff>110066</xdr:rowOff>
    </xdr:from>
    <xdr:to>
      <xdr:col>5</xdr:col>
      <xdr:colOff>127000</xdr:colOff>
      <xdr:row>32</xdr:row>
      <xdr:rowOff>33866</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261533" y="948266"/>
          <a:ext cx="7285567" cy="445008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endParaRPr lang="en-US" sz="1000">
            <a:solidFill>
              <a:schemeClr val="lt1"/>
            </a:solidFill>
            <a:effectLst/>
            <a:latin typeface="+mn-lt"/>
            <a:ea typeface="+mn-ea"/>
            <a:cs typeface="+mn-cs"/>
          </a:endParaRPr>
        </a:p>
        <a:p>
          <a:pPr algn="ctr"/>
          <a:r>
            <a:rPr lang="en-US" sz="2400">
              <a:solidFill>
                <a:sysClr val="windowText" lastClr="000000"/>
              </a:solidFill>
              <a:effectLst/>
              <a:latin typeface="+mn-lt"/>
              <a:ea typeface="+mn-ea"/>
              <a:cs typeface="+mn-cs"/>
            </a:rPr>
            <a:t>Individual Random Assignment Design </a:t>
          </a:r>
          <a:endParaRPr lang="en-US" sz="2400">
            <a:solidFill>
              <a:sysClr val="windowText" lastClr="000000"/>
            </a:solidFill>
            <a:effectLst/>
          </a:endParaRPr>
        </a:p>
        <a:p>
          <a:pPr algn="ctr"/>
          <a:r>
            <a:rPr lang="en-US" sz="2400">
              <a:solidFill>
                <a:sysClr val="windowText" lastClr="000000"/>
              </a:solidFill>
              <a:effectLst/>
              <a:latin typeface="+mn-lt"/>
              <a:ea typeface="+mn-ea"/>
              <a:cs typeface="+mn-cs"/>
            </a:rPr>
            <a:t>(IRA)</a:t>
          </a:r>
          <a:endParaRPr lang="en-US" sz="2400">
            <a:solidFill>
              <a:sysClr val="windowText" lastClr="000000"/>
            </a:solidFill>
            <a:effectLst/>
          </a:endParaRPr>
        </a:p>
      </xdr:txBody>
    </xdr:sp>
    <xdr:clientData/>
  </xdr:twoCellAnchor>
  <xdr:twoCellAnchor>
    <xdr:from>
      <xdr:col>4</xdr:col>
      <xdr:colOff>711201</xdr:colOff>
      <xdr:row>34</xdr:row>
      <xdr:rowOff>46567</xdr:rowOff>
    </xdr:from>
    <xdr:to>
      <xdr:col>5</xdr:col>
      <xdr:colOff>143935</xdr:colOff>
      <xdr:row>37</xdr:row>
      <xdr:rowOff>65617</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7447281" y="5746327"/>
          <a:ext cx="1116754" cy="52197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1</xdr:col>
      <xdr:colOff>143934</xdr:colOff>
      <xdr:row>15</xdr:row>
      <xdr:rowOff>152401</xdr:rowOff>
    </xdr:from>
    <xdr:to>
      <xdr:col>2</xdr:col>
      <xdr:colOff>1173904</xdr:colOff>
      <xdr:row>29</xdr:row>
      <xdr:rowOff>8466</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2F00-000004000000}"/>
            </a:ext>
          </a:extLst>
        </xdr:cNvPr>
        <xdr:cNvSpPr/>
      </xdr:nvSpPr>
      <xdr:spPr>
        <a:xfrm>
          <a:off x="1827954" y="2667001"/>
          <a:ext cx="2713990" cy="220302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000">
              <a:solidFill>
                <a:sysClr val="windowText" lastClr="000000"/>
              </a:solidFill>
            </a:rPr>
            <a:t>Minimum</a:t>
          </a:r>
          <a:r>
            <a:rPr lang="en-US" sz="3000" baseline="0">
              <a:solidFill>
                <a:sysClr val="windowText" lastClr="000000"/>
              </a:solidFill>
            </a:rPr>
            <a:t> Detectable Effect Size (</a:t>
          </a:r>
          <a:r>
            <a:rPr lang="en-US" sz="3000" baseline="0">
              <a:solidFill>
                <a:srgbClr val="FF0000"/>
              </a:solidFill>
            </a:rPr>
            <a:t>MDES</a:t>
          </a:r>
          <a:r>
            <a:rPr lang="en-US" sz="3000" baseline="0">
              <a:solidFill>
                <a:sysClr val="windowText" lastClr="000000"/>
              </a:solidFill>
            </a:rPr>
            <a:t>)</a:t>
          </a:r>
          <a:endParaRPr lang="en-US" sz="3000">
            <a:solidFill>
              <a:sysClr val="windowText" lastClr="000000"/>
            </a:solidFill>
          </a:endParaRPr>
        </a:p>
      </xdr:txBody>
    </xdr:sp>
    <xdr:clientData/>
  </xdr:twoCellAnchor>
  <xdr:twoCellAnchor>
    <xdr:from>
      <xdr:col>3</xdr:col>
      <xdr:colOff>101600</xdr:colOff>
      <xdr:row>15</xdr:row>
      <xdr:rowOff>152400</xdr:rowOff>
    </xdr:from>
    <xdr:to>
      <xdr:col>4</xdr:col>
      <xdr:colOff>1202266</xdr:colOff>
      <xdr:row>28</xdr:row>
      <xdr:rowOff>160867</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00000000-0008-0000-2F00-000005000000}"/>
            </a:ext>
          </a:extLst>
        </xdr:cNvPr>
        <xdr:cNvSpPr/>
      </xdr:nvSpPr>
      <xdr:spPr>
        <a:xfrm>
          <a:off x="5153660" y="2667000"/>
          <a:ext cx="2784686" cy="218778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000">
              <a:solidFill>
                <a:srgbClr val="FF0000"/>
              </a:solidFill>
            </a:rPr>
            <a:t>Sample</a:t>
          </a:r>
          <a:r>
            <a:rPr lang="en-US" sz="3000" baseline="0">
              <a:solidFill>
                <a:srgbClr val="FF0000"/>
              </a:solidFill>
            </a:rPr>
            <a:t> Size </a:t>
          </a:r>
          <a:r>
            <a:rPr lang="en-US" sz="3000" baseline="0">
              <a:solidFill>
                <a:sysClr val="windowText" lastClr="000000"/>
              </a:solidFill>
            </a:rPr>
            <a:t>for a Given MDES</a:t>
          </a:r>
          <a:endParaRPr lang="en-US" sz="3000">
            <a:solidFill>
              <a:sysClr val="windowText" lastClr="000000"/>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171450</xdr:colOff>
      <xdr:row>7</xdr:row>
      <xdr:rowOff>0</xdr:rowOff>
    </xdr:from>
    <xdr:to>
      <xdr:col>3</xdr:col>
      <xdr:colOff>352425</xdr:colOff>
      <xdr:row>27</xdr:row>
      <xdr:rowOff>28575</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171450" y="1295400"/>
          <a:ext cx="3067050" cy="32670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a:solidFill>
                <a:sysClr val="windowText" lastClr="000000"/>
              </a:solidFill>
            </a:rPr>
            <a:t>2</a:t>
          </a:r>
          <a:r>
            <a:rPr lang="en-US" sz="2400" baseline="0">
              <a:solidFill>
                <a:sysClr val="windowText" lastClr="000000"/>
              </a:solidFill>
            </a:rPr>
            <a:t> levels</a:t>
          </a:r>
        </a:p>
        <a:p>
          <a:pPr algn="ctr"/>
          <a:r>
            <a:rPr lang="en-US" sz="2400" baseline="0">
              <a:solidFill>
                <a:sysClr val="windowText" lastClr="000000"/>
              </a:solidFill>
            </a:rPr>
            <a:t>(CRA2_2r)</a:t>
          </a:r>
          <a:r>
            <a:rPr lang="en-US" sz="4000" baseline="0"/>
            <a:t>)</a:t>
          </a:r>
          <a:endParaRPr lang="en-US" sz="4000"/>
        </a:p>
      </xdr:txBody>
    </xdr:sp>
    <xdr:clientData/>
  </xdr:twoCellAnchor>
  <xdr:twoCellAnchor>
    <xdr:from>
      <xdr:col>3</xdr:col>
      <xdr:colOff>714375</xdr:colOff>
      <xdr:row>7</xdr:row>
      <xdr:rowOff>0</xdr:rowOff>
    </xdr:from>
    <xdr:to>
      <xdr:col>6</xdr:col>
      <xdr:colOff>895350</xdr:colOff>
      <xdr:row>27</xdr:row>
      <xdr:rowOff>28575</xdr:rowOff>
    </xdr:to>
    <xdr:sp macro="" textlink="">
      <xdr:nvSpPr>
        <xdr:cNvPr id="3" name="Rectangle 2">
          <a:extLst>
            <a:ext uri="{FF2B5EF4-FFF2-40B4-BE49-F238E27FC236}">
              <a16:creationId xmlns:a16="http://schemas.microsoft.com/office/drawing/2014/main" id="{00000000-0008-0000-3000-000003000000}"/>
            </a:ext>
          </a:extLst>
        </xdr:cNvPr>
        <xdr:cNvSpPr/>
      </xdr:nvSpPr>
      <xdr:spPr>
        <a:xfrm>
          <a:off x="3600450" y="1295400"/>
          <a:ext cx="3067050" cy="32670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a:solidFill>
                <a:sysClr val="windowText" lastClr="000000"/>
              </a:solidFill>
            </a:rPr>
            <a:t>3 levels</a:t>
          </a:r>
        </a:p>
        <a:p>
          <a:pPr algn="ctr"/>
          <a:r>
            <a:rPr lang="en-US" sz="2400">
              <a:solidFill>
                <a:sysClr val="windowText" lastClr="000000"/>
              </a:solidFill>
            </a:rPr>
            <a:t>(CRA3_3r)</a:t>
          </a:r>
          <a:r>
            <a:rPr lang="en-US" sz="4000"/>
            <a:t>)</a:t>
          </a:r>
        </a:p>
      </xdr:txBody>
    </xdr:sp>
    <xdr:clientData/>
  </xdr:twoCellAnchor>
  <xdr:twoCellAnchor>
    <xdr:from>
      <xdr:col>7</xdr:col>
      <xdr:colOff>285750</xdr:colOff>
      <xdr:row>6</xdr:row>
      <xdr:rowOff>152400</xdr:rowOff>
    </xdr:from>
    <xdr:to>
      <xdr:col>10</xdr:col>
      <xdr:colOff>466725</xdr:colOff>
      <xdr:row>27</xdr:row>
      <xdr:rowOff>19050</xdr:rowOff>
    </xdr:to>
    <xdr:sp macro="" textlink="">
      <xdr:nvSpPr>
        <xdr:cNvPr id="4" name="Rectangle 3">
          <a:extLst>
            <a:ext uri="{FF2B5EF4-FFF2-40B4-BE49-F238E27FC236}">
              <a16:creationId xmlns:a16="http://schemas.microsoft.com/office/drawing/2014/main" id="{00000000-0008-0000-3000-000004000000}"/>
            </a:ext>
          </a:extLst>
        </xdr:cNvPr>
        <xdr:cNvSpPr/>
      </xdr:nvSpPr>
      <xdr:spPr>
        <a:xfrm>
          <a:off x="7019925" y="1285875"/>
          <a:ext cx="3067050" cy="32670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a:solidFill>
                <a:sysClr val="windowText" lastClr="000000"/>
              </a:solidFill>
            </a:rPr>
            <a:t>4 levels</a:t>
          </a:r>
        </a:p>
        <a:p>
          <a:pPr algn="ctr"/>
          <a:r>
            <a:rPr lang="en-US" sz="2400">
              <a:solidFill>
                <a:sysClr val="windowText" lastClr="000000"/>
              </a:solidFill>
            </a:rPr>
            <a:t>(CRA4_4r)</a:t>
          </a:r>
          <a:r>
            <a:rPr lang="en-US" sz="4000"/>
            <a:t>)</a:t>
          </a:r>
        </a:p>
      </xdr:txBody>
    </xdr:sp>
    <xdr:clientData/>
  </xdr:twoCellAnchor>
  <xdr:twoCellAnchor>
    <xdr:from>
      <xdr:col>9</xdr:col>
      <xdr:colOff>162984</xdr:colOff>
      <xdr:row>30</xdr:row>
      <xdr:rowOff>125942</xdr:rowOff>
    </xdr:from>
    <xdr:to>
      <xdr:col>10</xdr:col>
      <xdr:colOff>486834</xdr:colOff>
      <xdr:row>33</xdr:row>
      <xdr:rowOff>152400</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3000-000005000000}"/>
            </a:ext>
          </a:extLst>
        </xdr:cNvPr>
        <xdr:cNvSpPr/>
      </xdr:nvSpPr>
      <xdr:spPr>
        <a:xfrm>
          <a:off x="9078384" y="5205942"/>
          <a:ext cx="1314450" cy="534458"/>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0</xdr:col>
      <xdr:colOff>332316</xdr:colOff>
      <xdr:row>17</xdr:row>
      <xdr:rowOff>25400</xdr:rowOff>
    </xdr:from>
    <xdr:to>
      <xdr:col>1</xdr:col>
      <xdr:colOff>601133</xdr:colOff>
      <xdr:row>26</xdr:row>
      <xdr:rowOff>71967</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3000-000006000000}"/>
            </a:ext>
          </a:extLst>
        </xdr:cNvPr>
        <xdr:cNvSpPr/>
      </xdr:nvSpPr>
      <xdr:spPr>
        <a:xfrm>
          <a:off x="332316" y="2904067"/>
          <a:ext cx="1259417"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1</xdr:col>
      <xdr:colOff>939800</xdr:colOff>
      <xdr:row>17</xdr:row>
      <xdr:rowOff>16933</xdr:rowOff>
    </xdr:from>
    <xdr:to>
      <xdr:col>3</xdr:col>
      <xdr:colOff>203200</xdr:colOff>
      <xdr:row>26</xdr:row>
      <xdr:rowOff>80434</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3000-000007000000}"/>
            </a:ext>
          </a:extLst>
        </xdr:cNvPr>
        <xdr:cNvSpPr/>
      </xdr:nvSpPr>
      <xdr:spPr>
        <a:xfrm>
          <a:off x="1930400" y="2895600"/>
          <a:ext cx="1244600" cy="15875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3</xdr:col>
      <xdr:colOff>857250</xdr:colOff>
      <xdr:row>17</xdr:row>
      <xdr:rowOff>33867</xdr:rowOff>
    </xdr:from>
    <xdr:to>
      <xdr:col>5</xdr:col>
      <xdr:colOff>135467</xdr:colOff>
      <xdr:row>26</xdr:row>
      <xdr:rowOff>80434</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0000000-0008-0000-3000-00000A000000}"/>
            </a:ext>
          </a:extLst>
        </xdr:cNvPr>
        <xdr:cNvSpPr/>
      </xdr:nvSpPr>
      <xdr:spPr>
        <a:xfrm>
          <a:off x="3829050" y="2912534"/>
          <a:ext cx="1259417"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5</xdr:col>
      <xdr:colOff>474134</xdr:colOff>
      <xdr:row>17</xdr:row>
      <xdr:rowOff>25400</xdr:rowOff>
    </xdr:from>
    <xdr:to>
      <xdr:col>6</xdr:col>
      <xdr:colOff>728134</xdr:colOff>
      <xdr:row>26</xdr:row>
      <xdr:rowOff>88901</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3000-00000B000000}"/>
            </a:ext>
          </a:extLst>
        </xdr:cNvPr>
        <xdr:cNvSpPr/>
      </xdr:nvSpPr>
      <xdr:spPr>
        <a:xfrm>
          <a:off x="5427134" y="2904067"/>
          <a:ext cx="1244600" cy="15875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7</xdr:col>
      <xdr:colOff>458258</xdr:colOff>
      <xdr:row>17</xdr:row>
      <xdr:rowOff>32808</xdr:rowOff>
    </xdr:from>
    <xdr:to>
      <xdr:col>8</xdr:col>
      <xdr:colOff>727075</xdr:colOff>
      <xdr:row>26</xdr:row>
      <xdr:rowOff>79375</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3000-00000C000000}"/>
            </a:ext>
          </a:extLst>
        </xdr:cNvPr>
        <xdr:cNvSpPr/>
      </xdr:nvSpPr>
      <xdr:spPr>
        <a:xfrm>
          <a:off x="7392458" y="2911475"/>
          <a:ext cx="1259417"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9</xdr:col>
      <xdr:colOff>75142</xdr:colOff>
      <xdr:row>17</xdr:row>
      <xdr:rowOff>24341</xdr:rowOff>
    </xdr:from>
    <xdr:to>
      <xdr:col>10</xdr:col>
      <xdr:colOff>329142</xdr:colOff>
      <xdr:row>26</xdr:row>
      <xdr:rowOff>87842</xdr:rowOff>
    </xdr:to>
    <xdr:sp macro="" textlink="">
      <xdr:nvSpPr>
        <xdr:cNvPr id="13" name="Rectangle 12">
          <a:hlinkClick xmlns:r="http://schemas.openxmlformats.org/officeDocument/2006/relationships" r:id="rId7"/>
          <a:extLst>
            <a:ext uri="{FF2B5EF4-FFF2-40B4-BE49-F238E27FC236}">
              <a16:creationId xmlns:a16="http://schemas.microsoft.com/office/drawing/2014/main" id="{00000000-0008-0000-3000-00000D000000}"/>
            </a:ext>
          </a:extLst>
        </xdr:cNvPr>
        <xdr:cNvSpPr/>
      </xdr:nvSpPr>
      <xdr:spPr>
        <a:xfrm>
          <a:off x="8990542" y="2903008"/>
          <a:ext cx="1244600" cy="15875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123825</xdr:colOff>
      <xdr:row>5</xdr:row>
      <xdr:rowOff>152400</xdr:rowOff>
    </xdr:from>
    <xdr:to>
      <xdr:col>3</xdr:col>
      <xdr:colOff>304800</xdr:colOff>
      <xdr:row>26</xdr:row>
      <xdr:rowOff>19050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3100-000002000000}"/>
            </a:ext>
          </a:extLst>
        </xdr:cNvPr>
        <xdr:cNvSpPr/>
      </xdr:nvSpPr>
      <xdr:spPr>
        <a:xfrm>
          <a:off x="123825" y="1285875"/>
          <a:ext cx="3067050" cy="326707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600">
              <a:solidFill>
                <a:sysClr val="windowText" lastClr="000000"/>
              </a:solidFill>
            </a:rPr>
            <a:t>2</a:t>
          </a:r>
          <a:r>
            <a:rPr lang="en-US" sz="3600" baseline="0">
              <a:solidFill>
                <a:sysClr val="windowText" lastClr="000000"/>
              </a:solidFill>
            </a:rPr>
            <a:t> levels</a:t>
          </a:r>
        </a:p>
        <a:p>
          <a:pPr algn="ctr"/>
          <a:r>
            <a:rPr lang="en-US" sz="3600" baseline="0">
              <a:solidFill>
                <a:sysClr val="windowText" lastClr="000000"/>
              </a:solidFill>
            </a:rPr>
            <a:t>(BRA2)</a:t>
          </a:r>
          <a:endParaRPr lang="en-US" sz="3600">
            <a:solidFill>
              <a:sysClr val="windowText" lastClr="000000"/>
            </a:solidFill>
          </a:endParaRPr>
        </a:p>
      </xdr:txBody>
    </xdr:sp>
    <xdr:clientData/>
  </xdr:twoCellAnchor>
  <xdr:twoCellAnchor>
    <xdr:from>
      <xdr:col>3</xdr:col>
      <xdr:colOff>609600</xdr:colOff>
      <xdr:row>6</xdr:row>
      <xdr:rowOff>0</xdr:rowOff>
    </xdr:from>
    <xdr:to>
      <xdr:col>6</xdr:col>
      <xdr:colOff>790575</xdr:colOff>
      <xdr:row>26</xdr:row>
      <xdr:rowOff>28575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3100-000003000000}"/>
            </a:ext>
          </a:extLst>
        </xdr:cNvPr>
        <xdr:cNvSpPr/>
      </xdr:nvSpPr>
      <xdr:spPr>
        <a:xfrm>
          <a:off x="3495675" y="1295400"/>
          <a:ext cx="3067050" cy="326707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600" baseline="0">
              <a:solidFill>
                <a:sysClr val="windowText" lastClr="000000"/>
              </a:solidFill>
            </a:rPr>
            <a:t>3 levels</a:t>
          </a:r>
        </a:p>
        <a:p>
          <a:pPr algn="ctr"/>
          <a:r>
            <a:rPr lang="en-US" sz="3600" baseline="0">
              <a:solidFill>
                <a:sysClr val="windowText" lastClr="000000"/>
              </a:solidFill>
            </a:rPr>
            <a:t>(BRA3)</a:t>
          </a:r>
          <a:endParaRPr lang="en-US" sz="3600">
            <a:solidFill>
              <a:sysClr val="windowText" lastClr="000000"/>
            </a:solidFill>
          </a:endParaRPr>
        </a:p>
      </xdr:txBody>
    </xdr:sp>
    <xdr:clientData/>
  </xdr:twoCellAnchor>
  <xdr:twoCellAnchor>
    <xdr:from>
      <xdr:col>7</xdr:col>
      <xdr:colOff>123825</xdr:colOff>
      <xdr:row>5</xdr:row>
      <xdr:rowOff>142875</xdr:rowOff>
    </xdr:from>
    <xdr:to>
      <xdr:col>10</xdr:col>
      <xdr:colOff>304800</xdr:colOff>
      <xdr:row>26</xdr:row>
      <xdr:rowOff>9525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0000000-0008-0000-3100-000004000000}"/>
            </a:ext>
          </a:extLst>
        </xdr:cNvPr>
        <xdr:cNvSpPr/>
      </xdr:nvSpPr>
      <xdr:spPr>
        <a:xfrm>
          <a:off x="6858000" y="1276350"/>
          <a:ext cx="3067050" cy="326707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600" baseline="0">
              <a:solidFill>
                <a:sysClr val="windowText" lastClr="000000"/>
              </a:solidFill>
            </a:rPr>
            <a:t>4 levels</a:t>
          </a:r>
        </a:p>
        <a:p>
          <a:pPr algn="ctr"/>
          <a:r>
            <a:rPr lang="en-US" sz="3600" baseline="0">
              <a:solidFill>
                <a:sysClr val="windowText" lastClr="000000"/>
              </a:solidFill>
            </a:rPr>
            <a:t>(BRA4)</a:t>
          </a:r>
          <a:endParaRPr lang="en-US" sz="3600">
            <a:solidFill>
              <a:sysClr val="windowText" lastClr="000000"/>
            </a:solidFill>
          </a:endParaRPr>
        </a:p>
      </xdr:txBody>
    </xdr:sp>
    <xdr:clientData/>
  </xdr:twoCellAnchor>
  <xdr:twoCellAnchor>
    <xdr:from>
      <xdr:col>8</xdr:col>
      <xdr:colOff>971550</xdr:colOff>
      <xdr:row>31</xdr:row>
      <xdr:rowOff>23284</xdr:rowOff>
    </xdr:from>
    <xdr:to>
      <xdr:col>10</xdr:col>
      <xdr:colOff>304800</xdr:colOff>
      <xdr:row>34</xdr:row>
      <xdr:rowOff>42334</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3100-000005000000}"/>
            </a:ext>
          </a:extLst>
        </xdr:cNvPr>
        <xdr:cNvSpPr/>
      </xdr:nvSpPr>
      <xdr:spPr>
        <a:xfrm>
          <a:off x="8896350" y="5272617"/>
          <a:ext cx="1314450" cy="52705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3</xdr:col>
      <xdr:colOff>335281</xdr:colOff>
      <xdr:row>8</xdr:row>
      <xdr:rowOff>5714</xdr:rowOff>
    </xdr:from>
    <xdr:to>
      <xdr:col>6</xdr:col>
      <xdr:colOff>38101</xdr:colOff>
      <xdr:row>27</xdr:row>
      <xdr:rowOff>144779</xdr:rowOff>
    </xdr:to>
    <xdr:sp macro="" textlink="">
      <xdr:nvSpPr>
        <xdr:cNvPr id="6" name="Rectangle 5">
          <a:extLst>
            <a:ext uri="{FF2B5EF4-FFF2-40B4-BE49-F238E27FC236}">
              <a16:creationId xmlns:a16="http://schemas.microsoft.com/office/drawing/2014/main" id="{00000000-0008-0000-3200-000006000000}"/>
            </a:ext>
          </a:extLst>
        </xdr:cNvPr>
        <xdr:cNvSpPr/>
      </xdr:nvSpPr>
      <xdr:spPr>
        <a:xfrm>
          <a:off x="3307081" y="1346834"/>
          <a:ext cx="2674620" cy="33242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0" baseline="0">
              <a:solidFill>
                <a:sysClr val="windowText" lastClr="000000"/>
              </a:solidFill>
            </a:rPr>
            <a:t>Fixed Effects </a:t>
          </a:r>
          <a:r>
            <a:rPr lang="en-US" sz="2400" b="0" baseline="0">
              <a:solidFill>
                <a:sysClr val="windowText" lastClr="000000"/>
              </a:solidFill>
              <a:latin typeface="+mn-lt"/>
              <a:ea typeface="+mn-ea"/>
              <a:cs typeface="+mn-cs"/>
            </a:rPr>
            <a:t>(BIRA2_1f)</a:t>
          </a:r>
          <a:endParaRPr lang="en-US" sz="2400" b="0">
            <a:solidFill>
              <a:sysClr val="windowText" lastClr="000000"/>
            </a:solidFill>
          </a:endParaRPr>
        </a:p>
      </xdr:txBody>
    </xdr:sp>
    <xdr:clientData/>
  </xdr:twoCellAnchor>
  <xdr:twoCellAnchor>
    <xdr:from>
      <xdr:col>6</xdr:col>
      <xdr:colOff>342900</xdr:colOff>
      <xdr:row>7</xdr:row>
      <xdr:rowOff>152400</xdr:rowOff>
    </xdr:from>
    <xdr:to>
      <xdr:col>9</xdr:col>
      <xdr:colOff>0</xdr:colOff>
      <xdr:row>27</xdr:row>
      <xdr:rowOff>144780</xdr:rowOff>
    </xdr:to>
    <xdr:sp macro="" textlink="">
      <xdr:nvSpPr>
        <xdr:cNvPr id="7" name="Rectangle 6">
          <a:extLst>
            <a:ext uri="{FF2B5EF4-FFF2-40B4-BE49-F238E27FC236}">
              <a16:creationId xmlns:a16="http://schemas.microsoft.com/office/drawing/2014/main" id="{00000000-0008-0000-3200-000007000000}"/>
            </a:ext>
          </a:extLst>
        </xdr:cNvPr>
        <xdr:cNvSpPr/>
      </xdr:nvSpPr>
      <xdr:spPr>
        <a:xfrm>
          <a:off x="6286500" y="1325880"/>
          <a:ext cx="2743201" cy="334518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rPr>
            <a:t>Random Effects</a:t>
          </a:r>
        </a:p>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latin typeface="+mn-lt"/>
              <a:ea typeface="+mn-ea"/>
              <a:cs typeface="+mn-cs"/>
            </a:rPr>
            <a:t>(BIRA2_1r)</a:t>
          </a:r>
          <a:endParaRPr lang="en-US" sz="2400">
            <a:solidFill>
              <a:sysClr val="windowText" lastClr="000000"/>
            </a:solidFill>
            <a:latin typeface="+mn-lt"/>
            <a:ea typeface="+mn-ea"/>
            <a:cs typeface="+mn-cs"/>
          </a:endParaRPr>
        </a:p>
      </xdr:txBody>
    </xdr:sp>
    <xdr:clientData/>
  </xdr:twoCellAnchor>
  <xdr:twoCellAnchor>
    <xdr:from>
      <xdr:col>8</xdr:col>
      <xdr:colOff>15240</xdr:colOff>
      <xdr:row>29</xdr:row>
      <xdr:rowOff>154305</xdr:rowOff>
    </xdr:from>
    <xdr:to>
      <xdr:col>8</xdr:col>
      <xdr:colOff>979170</xdr:colOff>
      <xdr:row>33</xdr:row>
      <xdr:rowOff>5715</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3200-000008000000}"/>
            </a:ext>
          </a:extLst>
        </xdr:cNvPr>
        <xdr:cNvSpPr/>
      </xdr:nvSpPr>
      <xdr:spPr>
        <a:xfrm>
          <a:off x="7940040" y="5015865"/>
          <a:ext cx="963930" cy="52197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0</xdr:col>
      <xdr:colOff>281940</xdr:colOff>
      <xdr:row>8</xdr:row>
      <xdr:rowOff>0</xdr:rowOff>
    </xdr:from>
    <xdr:to>
      <xdr:col>3</xdr:col>
      <xdr:colOff>38100</xdr:colOff>
      <xdr:row>27</xdr:row>
      <xdr:rowOff>137160</xdr:rowOff>
    </xdr:to>
    <xdr:sp macro="" textlink="">
      <xdr:nvSpPr>
        <xdr:cNvPr id="5" name="Rectangle 4">
          <a:extLst>
            <a:ext uri="{FF2B5EF4-FFF2-40B4-BE49-F238E27FC236}">
              <a16:creationId xmlns:a16="http://schemas.microsoft.com/office/drawing/2014/main" id="{00000000-0008-0000-3200-000005000000}"/>
            </a:ext>
          </a:extLst>
        </xdr:cNvPr>
        <xdr:cNvSpPr/>
      </xdr:nvSpPr>
      <xdr:spPr>
        <a:xfrm>
          <a:off x="281940" y="1341120"/>
          <a:ext cx="2727960" cy="332232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Constant Effects</a:t>
          </a:r>
        </a:p>
        <a:p>
          <a:pPr algn="ctr"/>
          <a:r>
            <a:rPr lang="en-US" sz="2400" baseline="0">
              <a:solidFill>
                <a:sysClr val="windowText" lastClr="000000"/>
              </a:solidFill>
            </a:rPr>
            <a:t>(BIRA2_1c)</a:t>
          </a:r>
          <a:endParaRPr lang="en-US" sz="2400">
            <a:solidFill>
              <a:sysClr val="windowText" lastClr="000000"/>
            </a:solidFill>
          </a:endParaRPr>
        </a:p>
      </xdr:txBody>
    </xdr:sp>
    <xdr:clientData/>
  </xdr:twoCellAnchor>
  <xdr:twoCellAnchor>
    <xdr:from>
      <xdr:col>0</xdr:col>
      <xdr:colOff>358141</xdr:colOff>
      <xdr:row>16</xdr:row>
      <xdr:rowOff>153247</xdr:rowOff>
    </xdr:from>
    <xdr:to>
      <xdr:col>1</xdr:col>
      <xdr:colOff>594360</xdr:colOff>
      <xdr:row>26</xdr:row>
      <xdr:rowOff>47414</xdr:rowOff>
    </xdr:to>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3200-00000B000000}"/>
            </a:ext>
          </a:extLst>
        </xdr:cNvPr>
        <xdr:cNvSpPr/>
      </xdr:nvSpPr>
      <xdr:spPr>
        <a:xfrm>
          <a:off x="358141" y="2835487"/>
          <a:ext cx="1226819"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1</xdr:col>
      <xdr:colOff>714164</xdr:colOff>
      <xdr:row>16</xdr:row>
      <xdr:rowOff>160020</xdr:rowOff>
    </xdr:from>
    <xdr:to>
      <xdr:col>2</xdr:col>
      <xdr:colOff>922020</xdr:colOff>
      <xdr:row>26</xdr:row>
      <xdr:rowOff>53341</xdr:rowOff>
    </xdr:to>
    <xdr:sp macro="" textlink="">
      <xdr:nvSpPr>
        <xdr:cNvPr id="12" name="Rectangle 11">
          <a:hlinkClick xmlns:r="http://schemas.openxmlformats.org/officeDocument/2006/relationships" r:id="rId3"/>
          <a:extLst>
            <a:ext uri="{FF2B5EF4-FFF2-40B4-BE49-F238E27FC236}">
              <a16:creationId xmlns:a16="http://schemas.microsoft.com/office/drawing/2014/main" id="{00000000-0008-0000-3200-00000C000000}"/>
            </a:ext>
          </a:extLst>
        </xdr:cNvPr>
        <xdr:cNvSpPr/>
      </xdr:nvSpPr>
      <xdr:spPr>
        <a:xfrm>
          <a:off x="1704764" y="2842260"/>
          <a:ext cx="1198456" cy="156972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3</xdr:col>
      <xdr:colOff>401955</xdr:colOff>
      <xdr:row>17</xdr:row>
      <xdr:rowOff>5714</xdr:rowOff>
    </xdr:from>
    <xdr:to>
      <xdr:col>4</xdr:col>
      <xdr:colOff>638174</xdr:colOff>
      <xdr:row>26</xdr:row>
      <xdr:rowOff>67521</xdr:rowOff>
    </xdr:to>
    <xdr:sp macro="" textlink="">
      <xdr:nvSpPr>
        <xdr:cNvPr id="13" name="Rectangle 12">
          <a:hlinkClick xmlns:r="http://schemas.openxmlformats.org/officeDocument/2006/relationships" r:id="rId4"/>
          <a:extLst>
            <a:ext uri="{FF2B5EF4-FFF2-40B4-BE49-F238E27FC236}">
              <a16:creationId xmlns:a16="http://schemas.microsoft.com/office/drawing/2014/main" id="{00000000-0008-0000-3200-00000D000000}"/>
            </a:ext>
          </a:extLst>
        </xdr:cNvPr>
        <xdr:cNvSpPr/>
      </xdr:nvSpPr>
      <xdr:spPr>
        <a:xfrm>
          <a:off x="3373755" y="2855594"/>
          <a:ext cx="1226819"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4</xdr:col>
      <xdr:colOff>757978</xdr:colOff>
      <xdr:row>17</xdr:row>
      <xdr:rowOff>12487</xdr:rowOff>
    </xdr:from>
    <xdr:to>
      <xdr:col>5</xdr:col>
      <xdr:colOff>965834</xdr:colOff>
      <xdr:row>26</xdr:row>
      <xdr:rowOff>73448</xdr:rowOff>
    </xdr:to>
    <xdr:sp macro="" textlink="">
      <xdr:nvSpPr>
        <xdr:cNvPr id="14" name="Rectangle 13">
          <a:hlinkClick xmlns:r="http://schemas.openxmlformats.org/officeDocument/2006/relationships" r:id="rId5"/>
          <a:extLst>
            <a:ext uri="{FF2B5EF4-FFF2-40B4-BE49-F238E27FC236}">
              <a16:creationId xmlns:a16="http://schemas.microsoft.com/office/drawing/2014/main" id="{00000000-0008-0000-3200-00000E000000}"/>
            </a:ext>
          </a:extLst>
        </xdr:cNvPr>
        <xdr:cNvSpPr/>
      </xdr:nvSpPr>
      <xdr:spPr>
        <a:xfrm>
          <a:off x="4720378" y="2862367"/>
          <a:ext cx="1198456" cy="156972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6</xdr:col>
      <xdr:colOff>459105</xdr:colOff>
      <xdr:row>17</xdr:row>
      <xdr:rowOff>22860</xdr:rowOff>
    </xdr:from>
    <xdr:to>
      <xdr:col>7</xdr:col>
      <xdr:colOff>695324</xdr:colOff>
      <xdr:row>26</xdr:row>
      <xdr:rowOff>84667</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3200-000011000000}"/>
            </a:ext>
          </a:extLst>
        </xdr:cNvPr>
        <xdr:cNvSpPr/>
      </xdr:nvSpPr>
      <xdr:spPr>
        <a:xfrm>
          <a:off x="6402705" y="2872740"/>
          <a:ext cx="1226819"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7</xdr:col>
      <xdr:colOff>815128</xdr:colOff>
      <xdr:row>17</xdr:row>
      <xdr:rowOff>29633</xdr:rowOff>
    </xdr:from>
    <xdr:to>
      <xdr:col>9</xdr:col>
      <xdr:colOff>0</xdr:colOff>
      <xdr:row>26</xdr:row>
      <xdr:rowOff>90594</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3200-000012000000}"/>
            </a:ext>
          </a:extLst>
        </xdr:cNvPr>
        <xdr:cNvSpPr/>
      </xdr:nvSpPr>
      <xdr:spPr>
        <a:xfrm>
          <a:off x="7749328" y="2879513"/>
          <a:ext cx="1198456" cy="156972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0</xdr:col>
      <xdr:colOff>668867</xdr:colOff>
      <xdr:row>8</xdr:row>
      <xdr:rowOff>9525</xdr:rowOff>
    </xdr:from>
    <xdr:to>
      <xdr:col>4</xdr:col>
      <xdr:colOff>457200</xdr:colOff>
      <xdr:row>32</xdr:row>
      <xdr:rowOff>25400</xdr:rowOff>
    </xdr:to>
    <xdr:sp macro="" textlink="">
      <xdr:nvSpPr>
        <xdr:cNvPr id="2" name="Rectangle 1">
          <a:extLst>
            <a:ext uri="{FF2B5EF4-FFF2-40B4-BE49-F238E27FC236}">
              <a16:creationId xmlns:a16="http://schemas.microsoft.com/office/drawing/2014/main" id="{00000000-0008-0000-3300-000002000000}"/>
            </a:ext>
          </a:extLst>
        </xdr:cNvPr>
        <xdr:cNvSpPr/>
      </xdr:nvSpPr>
      <xdr:spPr>
        <a:xfrm>
          <a:off x="668867" y="1364192"/>
          <a:ext cx="3750733" cy="407987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Level 1</a:t>
          </a:r>
        </a:p>
        <a:p>
          <a:pPr algn="ctr"/>
          <a:r>
            <a:rPr lang="en-US" sz="2400" baseline="0">
              <a:solidFill>
                <a:sysClr val="windowText" lastClr="000000"/>
              </a:solidFill>
              <a:latin typeface="+mn-lt"/>
              <a:ea typeface="+mn-ea"/>
              <a:cs typeface="+mn-cs"/>
            </a:rPr>
            <a:t>(BIRA3_1r)</a:t>
          </a:r>
          <a:endParaRPr lang="en-US" sz="2400">
            <a:solidFill>
              <a:sysClr val="windowText" lastClr="000000"/>
            </a:solidFill>
          </a:endParaRPr>
        </a:p>
      </xdr:txBody>
    </xdr:sp>
    <xdr:clientData/>
  </xdr:twoCellAnchor>
  <xdr:twoCellAnchor>
    <xdr:from>
      <xdr:col>4</xdr:col>
      <xdr:colOff>982134</xdr:colOff>
      <xdr:row>7</xdr:row>
      <xdr:rowOff>160866</xdr:rowOff>
    </xdr:from>
    <xdr:to>
      <xdr:col>10</xdr:col>
      <xdr:colOff>0</xdr:colOff>
      <xdr:row>32</xdr:row>
      <xdr:rowOff>25399</xdr:rowOff>
    </xdr:to>
    <xdr:sp macro="" textlink="">
      <xdr:nvSpPr>
        <xdr:cNvPr id="3" name="Rectangle 2">
          <a:extLst>
            <a:ext uri="{FF2B5EF4-FFF2-40B4-BE49-F238E27FC236}">
              <a16:creationId xmlns:a16="http://schemas.microsoft.com/office/drawing/2014/main" id="{00000000-0008-0000-3300-000003000000}"/>
            </a:ext>
          </a:extLst>
        </xdr:cNvPr>
        <xdr:cNvSpPr/>
      </xdr:nvSpPr>
      <xdr:spPr>
        <a:xfrm>
          <a:off x="4944534" y="1346199"/>
          <a:ext cx="4961466" cy="409786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Level 2</a:t>
          </a:r>
          <a:endParaRPr lang="en-US" sz="2400">
            <a:solidFill>
              <a:sysClr val="windowText" lastClr="000000"/>
            </a:solidFill>
            <a:latin typeface="+mn-lt"/>
            <a:ea typeface="+mn-ea"/>
            <a:cs typeface="+mn-cs"/>
          </a:endParaRPr>
        </a:p>
      </xdr:txBody>
    </xdr:sp>
    <xdr:clientData/>
  </xdr:twoCellAnchor>
  <xdr:twoCellAnchor>
    <xdr:from>
      <xdr:col>9</xdr:col>
      <xdr:colOff>352425</xdr:colOff>
      <xdr:row>38</xdr:row>
      <xdr:rowOff>38100</xdr:rowOff>
    </xdr:from>
    <xdr:to>
      <xdr:col>10</xdr:col>
      <xdr:colOff>676275</xdr:colOff>
      <xdr:row>41</xdr:row>
      <xdr:rowOff>57150</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3300-000004000000}"/>
            </a:ext>
          </a:extLst>
        </xdr:cNvPr>
        <xdr:cNvSpPr/>
      </xdr:nvSpPr>
      <xdr:spPr>
        <a:xfrm>
          <a:off x="9010650" y="6191250"/>
          <a:ext cx="1285875" cy="504825"/>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1</xdr:col>
      <xdr:colOff>57151</xdr:colOff>
      <xdr:row>17</xdr:row>
      <xdr:rowOff>65405</xdr:rowOff>
    </xdr:from>
    <xdr:to>
      <xdr:col>2</xdr:col>
      <xdr:colOff>293370</xdr:colOff>
      <xdr:row>26</xdr:row>
      <xdr:rowOff>127212</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3300-000005000000}"/>
            </a:ext>
          </a:extLst>
        </xdr:cNvPr>
        <xdr:cNvSpPr/>
      </xdr:nvSpPr>
      <xdr:spPr>
        <a:xfrm>
          <a:off x="1047751" y="2944072"/>
          <a:ext cx="1226819" cy="158580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2</xdr:col>
      <xdr:colOff>843280</xdr:colOff>
      <xdr:row>17</xdr:row>
      <xdr:rowOff>65404</xdr:rowOff>
    </xdr:from>
    <xdr:to>
      <xdr:col>4</xdr:col>
      <xdr:colOff>60536</xdr:colOff>
      <xdr:row>26</xdr:row>
      <xdr:rowOff>126365</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3300-000006000000}"/>
            </a:ext>
          </a:extLst>
        </xdr:cNvPr>
        <xdr:cNvSpPr/>
      </xdr:nvSpPr>
      <xdr:spPr>
        <a:xfrm>
          <a:off x="2824480" y="2944071"/>
          <a:ext cx="1198456" cy="158496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5</xdr:col>
      <xdr:colOff>98423</xdr:colOff>
      <xdr:row>14</xdr:row>
      <xdr:rowOff>33867</xdr:rowOff>
    </xdr:from>
    <xdr:to>
      <xdr:col>7</xdr:col>
      <xdr:colOff>397933</xdr:colOff>
      <xdr:row>29</xdr:row>
      <xdr:rowOff>160867</xdr:rowOff>
    </xdr:to>
    <xdr:sp macro="" textlink="">
      <xdr:nvSpPr>
        <xdr:cNvPr id="12" name="Rectangle 11">
          <a:extLst>
            <a:ext uri="{FF2B5EF4-FFF2-40B4-BE49-F238E27FC236}">
              <a16:creationId xmlns:a16="http://schemas.microsoft.com/office/drawing/2014/main" id="{00000000-0008-0000-3300-00000C000000}"/>
            </a:ext>
          </a:extLst>
        </xdr:cNvPr>
        <xdr:cNvSpPr/>
      </xdr:nvSpPr>
      <xdr:spPr>
        <a:xfrm>
          <a:off x="5051423" y="2404534"/>
          <a:ext cx="2280710" cy="26670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Fixed Effects</a:t>
          </a:r>
        </a:p>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latin typeface="+mn-lt"/>
              <a:ea typeface="+mn-ea"/>
              <a:cs typeface="+mn-cs"/>
            </a:rPr>
            <a:t>(BCRA3_2f)</a:t>
          </a:r>
          <a:endParaRPr lang="en-US" sz="2400">
            <a:solidFill>
              <a:sysClr val="windowText" lastClr="000000"/>
            </a:solidFill>
            <a:latin typeface="+mn-lt"/>
            <a:ea typeface="+mn-ea"/>
            <a:cs typeface="+mn-cs"/>
          </a:endParaRPr>
        </a:p>
      </xdr:txBody>
    </xdr:sp>
    <xdr:clientData/>
  </xdr:twoCellAnchor>
  <xdr:twoCellAnchor>
    <xdr:from>
      <xdr:col>5</xdr:col>
      <xdr:colOff>184784</xdr:colOff>
      <xdr:row>20</xdr:row>
      <xdr:rowOff>115147</xdr:rowOff>
    </xdr:from>
    <xdr:to>
      <xdr:col>6</xdr:col>
      <xdr:colOff>203200</xdr:colOff>
      <xdr:row>28</xdr:row>
      <xdr:rowOff>15876</xdr:rowOff>
    </xdr:to>
    <xdr:sp macro="" textlink="">
      <xdr:nvSpPr>
        <xdr:cNvPr id="13" name="Rectangle 12">
          <a:hlinkClick xmlns:r="http://schemas.openxmlformats.org/officeDocument/2006/relationships" r:id="rId4"/>
          <a:extLst>
            <a:ext uri="{FF2B5EF4-FFF2-40B4-BE49-F238E27FC236}">
              <a16:creationId xmlns:a16="http://schemas.microsoft.com/office/drawing/2014/main" id="{00000000-0008-0000-3300-00000D000000}"/>
            </a:ext>
          </a:extLst>
        </xdr:cNvPr>
        <xdr:cNvSpPr/>
      </xdr:nvSpPr>
      <xdr:spPr>
        <a:xfrm>
          <a:off x="5137784" y="3501814"/>
          <a:ext cx="1009016" cy="125539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a:solidFill>
                <a:sysClr val="windowText" lastClr="000000"/>
              </a:solidFill>
            </a:rPr>
            <a:t>Minimum</a:t>
          </a:r>
          <a:r>
            <a:rPr lang="en-US" sz="1400" baseline="0">
              <a:solidFill>
                <a:sysClr val="windowText" lastClr="000000"/>
              </a:solidFill>
            </a:rPr>
            <a:t> Detectable Effect Size (</a:t>
          </a:r>
          <a:r>
            <a:rPr lang="en-US" sz="1400" baseline="0">
              <a:solidFill>
                <a:srgbClr val="FF0000"/>
              </a:solidFill>
            </a:rPr>
            <a:t>MDES</a:t>
          </a:r>
          <a:r>
            <a:rPr lang="en-US" sz="1400" baseline="0">
              <a:solidFill>
                <a:sysClr val="windowText" lastClr="000000"/>
              </a:solidFill>
            </a:rPr>
            <a:t>)</a:t>
          </a:r>
          <a:endParaRPr lang="en-US" sz="1400">
            <a:solidFill>
              <a:sysClr val="windowText" lastClr="000000"/>
            </a:solidFill>
          </a:endParaRPr>
        </a:p>
      </xdr:txBody>
    </xdr:sp>
    <xdr:clientData/>
  </xdr:twoCellAnchor>
  <xdr:twoCellAnchor>
    <xdr:from>
      <xdr:col>6</xdr:col>
      <xdr:colOff>312629</xdr:colOff>
      <xdr:row>20</xdr:row>
      <xdr:rowOff>130387</xdr:rowOff>
    </xdr:from>
    <xdr:to>
      <xdr:col>7</xdr:col>
      <xdr:colOff>313266</xdr:colOff>
      <xdr:row>28</xdr:row>
      <xdr:rowOff>16722</xdr:rowOff>
    </xdr:to>
    <xdr:sp macro="" textlink="">
      <xdr:nvSpPr>
        <xdr:cNvPr id="14" name="Rectangle 13">
          <a:hlinkClick xmlns:r="http://schemas.openxmlformats.org/officeDocument/2006/relationships" r:id="rId5"/>
          <a:extLst>
            <a:ext uri="{FF2B5EF4-FFF2-40B4-BE49-F238E27FC236}">
              <a16:creationId xmlns:a16="http://schemas.microsoft.com/office/drawing/2014/main" id="{00000000-0008-0000-3300-00000E000000}"/>
            </a:ext>
          </a:extLst>
        </xdr:cNvPr>
        <xdr:cNvSpPr/>
      </xdr:nvSpPr>
      <xdr:spPr>
        <a:xfrm>
          <a:off x="6256229" y="3517054"/>
          <a:ext cx="991237" cy="12410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a:solidFill>
                <a:srgbClr val="FF0000"/>
              </a:solidFill>
            </a:rPr>
            <a:t>Sample</a:t>
          </a:r>
          <a:r>
            <a:rPr lang="en-US" sz="1400" baseline="0">
              <a:solidFill>
                <a:srgbClr val="FF0000"/>
              </a:solidFill>
            </a:rPr>
            <a:t> Size </a:t>
          </a:r>
          <a:r>
            <a:rPr lang="en-US" sz="1400" baseline="0">
              <a:solidFill>
                <a:sysClr val="windowText" lastClr="000000"/>
              </a:solidFill>
            </a:rPr>
            <a:t>for a Given MDES</a:t>
          </a:r>
          <a:endParaRPr lang="en-US" sz="1400">
            <a:solidFill>
              <a:sysClr val="windowText" lastClr="000000"/>
            </a:solidFill>
          </a:endParaRPr>
        </a:p>
      </xdr:txBody>
    </xdr:sp>
    <xdr:clientData/>
  </xdr:twoCellAnchor>
  <xdr:twoCellAnchor>
    <xdr:from>
      <xdr:col>7</xdr:col>
      <xdr:colOff>575734</xdr:colOff>
      <xdr:row>14</xdr:row>
      <xdr:rowOff>33865</xdr:rowOff>
    </xdr:from>
    <xdr:to>
      <xdr:col>9</xdr:col>
      <xdr:colOff>875244</xdr:colOff>
      <xdr:row>29</xdr:row>
      <xdr:rowOff>160865</xdr:rowOff>
    </xdr:to>
    <xdr:sp macro="" textlink="">
      <xdr:nvSpPr>
        <xdr:cNvPr id="21" name="Rectangle 20">
          <a:extLst>
            <a:ext uri="{FF2B5EF4-FFF2-40B4-BE49-F238E27FC236}">
              <a16:creationId xmlns:a16="http://schemas.microsoft.com/office/drawing/2014/main" id="{00000000-0008-0000-3300-000015000000}"/>
            </a:ext>
          </a:extLst>
        </xdr:cNvPr>
        <xdr:cNvSpPr/>
      </xdr:nvSpPr>
      <xdr:spPr>
        <a:xfrm>
          <a:off x="7509934" y="2404532"/>
          <a:ext cx="2280710" cy="266700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Random Effects</a:t>
          </a:r>
        </a:p>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latin typeface="+mn-lt"/>
              <a:ea typeface="+mn-ea"/>
              <a:cs typeface="+mn-cs"/>
            </a:rPr>
            <a:t>(BCRA3_2r)</a:t>
          </a:r>
          <a:endParaRPr lang="en-US" sz="2400">
            <a:solidFill>
              <a:sysClr val="windowText" lastClr="000000"/>
            </a:solidFill>
            <a:latin typeface="+mn-lt"/>
            <a:ea typeface="+mn-ea"/>
            <a:cs typeface="+mn-cs"/>
          </a:endParaRPr>
        </a:p>
      </xdr:txBody>
    </xdr:sp>
    <xdr:clientData/>
  </xdr:twoCellAnchor>
  <xdr:twoCellAnchor>
    <xdr:from>
      <xdr:col>7</xdr:col>
      <xdr:colOff>662095</xdr:colOff>
      <xdr:row>20</xdr:row>
      <xdr:rowOff>115145</xdr:rowOff>
    </xdr:from>
    <xdr:to>
      <xdr:col>8</xdr:col>
      <xdr:colOff>680511</xdr:colOff>
      <xdr:row>28</xdr:row>
      <xdr:rowOff>15874</xdr:rowOff>
    </xdr:to>
    <xdr:sp macro="" textlink="">
      <xdr:nvSpPr>
        <xdr:cNvPr id="22" name="Rectangle 21">
          <a:hlinkClick xmlns:r="http://schemas.openxmlformats.org/officeDocument/2006/relationships" r:id="rId6"/>
          <a:extLst>
            <a:ext uri="{FF2B5EF4-FFF2-40B4-BE49-F238E27FC236}">
              <a16:creationId xmlns:a16="http://schemas.microsoft.com/office/drawing/2014/main" id="{00000000-0008-0000-3300-000016000000}"/>
            </a:ext>
          </a:extLst>
        </xdr:cNvPr>
        <xdr:cNvSpPr/>
      </xdr:nvSpPr>
      <xdr:spPr>
        <a:xfrm>
          <a:off x="7596295" y="3501812"/>
          <a:ext cx="1009016" cy="1255395"/>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a:solidFill>
                <a:sysClr val="windowText" lastClr="000000"/>
              </a:solidFill>
            </a:rPr>
            <a:t>Minimum</a:t>
          </a:r>
          <a:r>
            <a:rPr lang="en-US" sz="1400" baseline="0">
              <a:solidFill>
                <a:sysClr val="windowText" lastClr="000000"/>
              </a:solidFill>
            </a:rPr>
            <a:t> Detectable Effect Size (</a:t>
          </a:r>
          <a:r>
            <a:rPr lang="en-US" sz="1400" baseline="0">
              <a:solidFill>
                <a:srgbClr val="FF0000"/>
              </a:solidFill>
            </a:rPr>
            <a:t>MDES</a:t>
          </a:r>
          <a:r>
            <a:rPr lang="en-US" sz="1400" baseline="0">
              <a:solidFill>
                <a:sysClr val="windowText" lastClr="000000"/>
              </a:solidFill>
            </a:rPr>
            <a:t>)</a:t>
          </a:r>
          <a:endParaRPr lang="en-US" sz="1400">
            <a:solidFill>
              <a:sysClr val="windowText" lastClr="000000"/>
            </a:solidFill>
          </a:endParaRPr>
        </a:p>
      </xdr:txBody>
    </xdr:sp>
    <xdr:clientData/>
  </xdr:twoCellAnchor>
  <xdr:twoCellAnchor>
    <xdr:from>
      <xdr:col>8</xdr:col>
      <xdr:colOff>789940</xdr:colOff>
      <xdr:row>20</xdr:row>
      <xdr:rowOff>130385</xdr:rowOff>
    </xdr:from>
    <xdr:to>
      <xdr:col>9</xdr:col>
      <xdr:colOff>790577</xdr:colOff>
      <xdr:row>28</xdr:row>
      <xdr:rowOff>16720</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3300-000017000000}"/>
            </a:ext>
          </a:extLst>
        </xdr:cNvPr>
        <xdr:cNvSpPr/>
      </xdr:nvSpPr>
      <xdr:spPr>
        <a:xfrm>
          <a:off x="8714740" y="3517052"/>
          <a:ext cx="991237" cy="12410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a:solidFill>
                <a:srgbClr val="FF0000"/>
              </a:solidFill>
            </a:rPr>
            <a:t>Sample</a:t>
          </a:r>
          <a:r>
            <a:rPr lang="en-US" sz="1400" baseline="0">
              <a:solidFill>
                <a:srgbClr val="FF0000"/>
              </a:solidFill>
            </a:rPr>
            <a:t> Size </a:t>
          </a:r>
          <a:r>
            <a:rPr lang="en-US" sz="1400" baseline="0">
              <a:solidFill>
                <a:sysClr val="windowText" lastClr="000000"/>
              </a:solidFill>
            </a:rPr>
            <a:t>for a Given MDES</a:t>
          </a:r>
          <a:endParaRPr lang="en-US" sz="1400">
            <a:solidFill>
              <a:sysClr val="windowText" lastClr="000000"/>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657225</xdr:colOff>
      <xdr:row>6</xdr:row>
      <xdr:rowOff>9525</xdr:rowOff>
    </xdr:from>
    <xdr:to>
      <xdr:col>6</xdr:col>
      <xdr:colOff>838200</xdr:colOff>
      <xdr:row>28</xdr:row>
      <xdr:rowOff>152400</xdr:rowOff>
    </xdr:to>
    <xdr:sp macro="" textlink="">
      <xdr:nvSpPr>
        <xdr:cNvPr id="2" name="Rectangle 1">
          <a:extLst>
            <a:ext uri="{FF2B5EF4-FFF2-40B4-BE49-F238E27FC236}">
              <a16:creationId xmlns:a16="http://schemas.microsoft.com/office/drawing/2014/main" id="{00000000-0008-0000-3400-000002000000}"/>
            </a:ext>
          </a:extLst>
        </xdr:cNvPr>
        <xdr:cNvSpPr/>
      </xdr:nvSpPr>
      <xdr:spPr>
        <a:xfrm>
          <a:off x="3629025" y="1025525"/>
          <a:ext cx="3152775" cy="3868208"/>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Level 2</a:t>
          </a:r>
        </a:p>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latin typeface="+mn-lt"/>
              <a:ea typeface="+mn-ea"/>
              <a:cs typeface="+mn-cs"/>
            </a:rPr>
            <a:t>(BCRA4_2r)</a:t>
          </a:r>
          <a:r>
            <a:rPr lang="en-US" sz="3600" baseline="0">
              <a:solidFill>
                <a:schemeClr val="lt1"/>
              </a:solidFill>
              <a:latin typeface="+mn-lt"/>
              <a:ea typeface="+mn-ea"/>
              <a:cs typeface="+mn-cs"/>
            </a:rPr>
            <a:t>)</a:t>
          </a:r>
          <a:endParaRPr lang="en-US" sz="3600">
            <a:solidFill>
              <a:schemeClr val="lt1"/>
            </a:solidFill>
            <a:latin typeface="+mn-lt"/>
            <a:ea typeface="+mn-ea"/>
            <a:cs typeface="+mn-cs"/>
          </a:endParaRPr>
        </a:p>
      </xdr:txBody>
    </xdr:sp>
    <xdr:clientData/>
  </xdr:twoCellAnchor>
  <xdr:twoCellAnchor>
    <xdr:from>
      <xdr:col>7</xdr:col>
      <xdr:colOff>209550</xdr:colOff>
      <xdr:row>5</xdr:row>
      <xdr:rowOff>156633</xdr:rowOff>
    </xdr:from>
    <xdr:to>
      <xdr:col>10</xdr:col>
      <xdr:colOff>390525</xdr:colOff>
      <xdr:row>28</xdr:row>
      <xdr:rowOff>141816</xdr:rowOff>
    </xdr:to>
    <xdr:sp macro="" textlink="">
      <xdr:nvSpPr>
        <xdr:cNvPr id="3" name="Rectangle 2">
          <a:extLst>
            <a:ext uri="{FF2B5EF4-FFF2-40B4-BE49-F238E27FC236}">
              <a16:creationId xmlns:a16="http://schemas.microsoft.com/office/drawing/2014/main" id="{00000000-0008-0000-3400-000003000000}"/>
            </a:ext>
          </a:extLst>
        </xdr:cNvPr>
        <xdr:cNvSpPr/>
      </xdr:nvSpPr>
      <xdr:spPr>
        <a:xfrm>
          <a:off x="6580717" y="950383"/>
          <a:ext cx="2911475" cy="3636433"/>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Level 3</a:t>
          </a:r>
          <a:endParaRPr lang="en-US" sz="2400">
            <a:solidFill>
              <a:sysClr val="windowText" lastClr="000000"/>
            </a:solidFill>
            <a:latin typeface="+mn-lt"/>
            <a:ea typeface="+mn-ea"/>
            <a:cs typeface="+mn-cs"/>
          </a:endParaRPr>
        </a:p>
      </xdr:txBody>
    </xdr:sp>
    <xdr:clientData/>
  </xdr:twoCellAnchor>
  <xdr:twoCellAnchor>
    <xdr:from>
      <xdr:col>0</xdr:col>
      <xdr:colOff>133350</xdr:colOff>
      <xdr:row>6</xdr:row>
      <xdr:rowOff>0</xdr:rowOff>
    </xdr:from>
    <xdr:to>
      <xdr:col>3</xdr:col>
      <xdr:colOff>314325</xdr:colOff>
      <xdr:row>28</xdr:row>
      <xdr:rowOff>160867</xdr:rowOff>
    </xdr:to>
    <xdr:sp macro="" textlink="">
      <xdr:nvSpPr>
        <xdr:cNvPr id="4" name="Rectangle 3">
          <a:extLst>
            <a:ext uri="{FF2B5EF4-FFF2-40B4-BE49-F238E27FC236}">
              <a16:creationId xmlns:a16="http://schemas.microsoft.com/office/drawing/2014/main" id="{00000000-0008-0000-3400-000004000000}"/>
            </a:ext>
          </a:extLst>
        </xdr:cNvPr>
        <xdr:cNvSpPr/>
      </xdr:nvSpPr>
      <xdr:spPr>
        <a:xfrm>
          <a:off x="133350" y="1016000"/>
          <a:ext cx="3152775" cy="38862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Level 1</a:t>
          </a:r>
        </a:p>
        <a:p>
          <a:pPr marL="0" marR="0" indent="0" algn="ctr" defTabSz="914400" eaLnBrk="1" fontAlgn="auto" latinLnBrk="0" hangingPunct="1">
            <a:lnSpc>
              <a:spcPct val="100000"/>
            </a:lnSpc>
            <a:spcBef>
              <a:spcPts val="0"/>
            </a:spcBef>
            <a:spcAft>
              <a:spcPts val="0"/>
            </a:spcAft>
            <a:buClrTx/>
            <a:buSzTx/>
            <a:buFontTx/>
            <a:buNone/>
            <a:tabLst/>
            <a:defRPr/>
          </a:pPr>
          <a:r>
            <a:rPr lang="en-US" sz="2400" baseline="0">
              <a:solidFill>
                <a:sysClr val="windowText" lastClr="000000"/>
              </a:solidFill>
              <a:latin typeface="+mn-lt"/>
              <a:ea typeface="+mn-ea"/>
              <a:cs typeface="+mn-cs"/>
            </a:rPr>
            <a:t>(BIRA4_1r)</a:t>
          </a:r>
          <a:endParaRPr lang="en-US" sz="2400">
            <a:solidFill>
              <a:sysClr val="windowText" lastClr="000000"/>
            </a:solidFill>
            <a:latin typeface="+mn-lt"/>
            <a:ea typeface="+mn-ea"/>
            <a:cs typeface="+mn-cs"/>
          </a:endParaRPr>
        </a:p>
      </xdr:txBody>
    </xdr:sp>
    <xdr:clientData/>
  </xdr:twoCellAnchor>
  <xdr:twoCellAnchor>
    <xdr:from>
      <xdr:col>9</xdr:col>
      <xdr:colOff>82550</xdr:colOff>
      <xdr:row>31</xdr:row>
      <xdr:rowOff>157692</xdr:rowOff>
    </xdr:from>
    <xdr:to>
      <xdr:col>10</xdr:col>
      <xdr:colOff>406400</xdr:colOff>
      <xdr:row>35</xdr:row>
      <xdr:rowOff>7408</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3400-000005000000}"/>
            </a:ext>
          </a:extLst>
        </xdr:cNvPr>
        <xdr:cNvSpPr/>
      </xdr:nvSpPr>
      <xdr:spPr>
        <a:xfrm>
          <a:off x="8997950" y="5407025"/>
          <a:ext cx="1314450" cy="52705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0</xdr:col>
      <xdr:colOff>268817</xdr:colOff>
      <xdr:row>15</xdr:row>
      <xdr:rowOff>50801</xdr:rowOff>
    </xdr:from>
    <xdr:to>
      <xdr:col>1</xdr:col>
      <xdr:colOff>537634</xdr:colOff>
      <xdr:row>24</xdr:row>
      <xdr:rowOff>97368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3400-000006000000}"/>
            </a:ext>
          </a:extLst>
        </xdr:cNvPr>
        <xdr:cNvSpPr/>
      </xdr:nvSpPr>
      <xdr:spPr>
        <a:xfrm>
          <a:off x="268817" y="2590801"/>
          <a:ext cx="1259417"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ysClr val="windowText" lastClr="000000"/>
              </a:solidFill>
            </a:rPr>
            <a:t>Minimum</a:t>
          </a:r>
          <a:r>
            <a:rPr lang="en-US" sz="1800" baseline="0">
              <a:solidFill>
                <a:sysClr val="windowText" lastClr="000000"/>
              </a:solidFill>
            </a:rPr>
            <a:t> Detectable Effect Size (</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1</xdr:col>
      <xdr:colOff>876301</xdr:colOff>
      <xdr:row>15</xdr:row>
      <xdr:rowOff>42334</xdr:rowOff>
    </xdr:from>
    <xdr:to>
      <xdr:col>3</xdr:col>
      <xdr:colOff>139701</xdr:colOff>
      <xdr:row>24</xdr:row>
      <xdr:rowOff>105835</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3400-000007000000}"/>
            </a:ext>
          </a:extLst>
        </xdr:cNvPr>
        <xdr:cNvSpPr/>
      </xdr:nvSpPr>
      <xdr:spPr>
        <a:xfrm>
          <a:off x="1866901" y="2582334"/>
          <a:ext cx="1244600" cy="15875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3</xdr:col>
      <xdr:colOff>817033</xdr:colOff>
      <xdr:row>15</xdr:row>
      <xdr:rowOff>60325</xdr:rowOff>
    </xdr:from>
    <xdr:to>
      <xdr:col>5</xdr:col>
      <xdr:colOff>143933</xdr:colOff>
      <xdr:row>24</xdr:row>
      <xdr:rowOff>106892</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3400-000008000000}"/>
            </a:ext>
          </a:extLst>
        </xdr:cNvPr>
        <xdr:cNvSpPr/>
      </xdr:nvSpPr>
      <xdr:spPr>
        <a:xfrm>
          <a:off x="3661833" y="2600325"/>
          <a:ext cx="1223433" cy="15705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a:solidFill>
                <a:sysClr val="windowText" lastClr="000000"/>
              </a:solidFill>
            </a:rPr>
            <a:t>Minimum</a:t>
          </a:r>
          <a:r>
            <a:rPr lang="en-US" sz="1400" baseline="0">
              <a:solidFill>
                <a:sysClr val="windowText" lastClr="000000"/>
              </a:solidFill>
            </a:rPr>
            <a:t> Detectable Effect Size </a:t>
          </a:r>
          <a:r>
            <a:rPr lang="en-US" sz="1800" baseline="0">
              <a:solidFill>
                <a:sysClr val="windowText" lastClr="000000"/>
              </a:solidFill>
            </a:rPr>
            <a:t>(</a:t>
          </a:r>
          <a:r>
            <a:rPr lang="en-US" sz="1800" baseline="0">
              <a:solidFill>
                <a:srgbClr val="FF0000"/>
              </a:solidFill>
            </a:rPr>
            <a:t>MDES</a:t>
          </a:r>
          <a:r>
            <a:rPr lang="en-US" sz="1800" baseline="0">
              <a:solidFill>
                <a:sysClr val="windowText" lastClr="000000"/>
              </a:solidFill>
            </a:rPr>
            <a:t>)</a:t>
          </a:r>
          <a:endParaRPr lang="en-US" sz="1800">
            <a:solidFill>
              <a:sysClr val="windowText" lastClr="000000"/>
            </a:solidFill>
          </a:endParaRPr>
        </a:p>
      </xdr:txBody>
    </xdr:sp>
    <xdr:clientData/>
  </xdr:twoCellAnchor>
  <xdr:twoCellAnchor>
    <xdr:from>
      <xdr:col>5</xdr:col>
      <xdr:colOff>433918</xdr:colOff>
      <xdr:row>15</xdr:row>
      <xdr:rowOff>51858</xdr:rowOff>
    </xdr:from>
    <xdr:to>
      <xdr:col>6</xdr:col>
      <xdr:colOff>687918</xdr:colOff>
      <xdr:row>24</xdr:row>
      <xdr:rowOff>115359</xdr:rowOff>
    </xdr:to>
    <xdr:sp macro="" textlink="">
      <xdr:nvSpPr>
        <xdr:cNvPr id="9" name="Rectangle 8">
          <a:hlinkClick xmlns:r="http://schemas.openxmlformats.org/officeDocument/2006/relationships" r:id="rId5"/>
          <a:extLst>
            <a:ext uri="{FF2B5EF4-FFF2-40B4-BE49-F238E27FC236}">
              <a16:creationId xmlns:a16="http://schemas.microsoft.com/office/drawing/2014/main" id="{00000000-0008-0000-3400-000009000000}"/>
            </a:ext>
          </a:extLst>
        </xdr:cNvPr>
        <xdr:cNvSpPr/>
      </xdr:nvSpPr>
      <xdr:spPr>
        <a:xfrm>
          <a:off x="5386918" y="2591858"/>
          <a:ext cx="1244600" cy="1587501"/>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800">
              <a:solidFill>
                <a:srgbClr val="FF0000"/>
              </a:solidFill>
            </a:rPr>
            <a:t>Sample</a:t>
          </a:r>
          <a:r>
            <a:rPr lang="en-US" sz="1800" baseline="0">
              <a:solidFill>
                <a:srgbClr val="FF0000"/>
              </a:solidFill>
            </a:rPr>
            <a:t> Size </a:t>
          </a:r>
          <a:r>
            <a:rPr lang="en-US" sz="1800" baseline="0">
              <a:solidFill>
                <a:sysClr val="windowText" lastClr="000000"/>
              </a:solidFill>
            </a:rPr>
            <a:t>for a Given MDES</a:t>
          </a:r>
          <a:endParaRPr lang="en-US" sz="1800">
            <a:solidFill>
              <a:sysClr val="windowText" lastClr="000000"/>
            </a:solidFill>
          </a:endParaRPr>
        </a:p>
      </xdr:txBody>
    </xdr:sp>
    <xdr:clientData/>
  </xdr:twoCellAnchor>
  <xdr:twoCellAnchor>
    <xdr:from>
      <xdr:col>7</xdr:col>
      <xdr:colOff>313267</xdr:colOff>
      <xdr:row>10</xdr:row>
      <xdr:rowOff>67733</xdr:rowOff>
    </xdr:from>
    <xdr:to>
      <xdr:col>8</xdr:col>
      <xdr:colOff>719667</xdr:colOff>
      <xdr:row>28</xdr:row>
      <xdr:rowOff>0</xdr:rowOff>
    </xdr:to>
    <xdr:sp macro="" textlink="">
      <xdr:nvSpPr>
        <xdr:cNvPr id="14" name="Rectangle 13">
          <a:extLst>
            <a:ext uri="{FF2B5EF4-FFF2-40B4-BE49-F238E27FC236}">
              <a16:creationId xmlns:a16="http://schemas.microsoft.com/office/drawing/2014/main" id="{00000000-0008-0000-3400-00000E000000}"/>
            </a:ext>
          </a:extLst>
        </xdr:cNvPr>
        <xdr:cNvSpPr/>
      </xdr:nvSpPr>
      <xdr:spPr>
        <a:xfrm>
          <a:off x="6891867" y="1761066"/>
          <a:ext cx="1346200" cy="298026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1800" baseline="0">
              <a:solidFill>
                <a:sysClr val="windowText" lastClr="000000"/>
              </a:solidFill>
            </a:rPr>
            <a:t>Fixed Effects</a:t>
          </a:r>
        </a:p>
        <a:p>
          <a:pPr marL="0" marR="0" indent="0" algn="ctr" defTabSz="914400" eaLnBrk="1" fontAlgn="auto" latinLnBrk="0" hangingPunct="1">
            <a:lnSpc>
              <a:spcPct val="100000"/>
            </a:lnSpc>
            <a:spcBef>
              <a:spcPts val="0"/>
            </a:spcBef>
            <a:spcAft>
              <a:spcPts val="0"/>
            </a:spcAft>
            <a:buClrTx/>
            <a:buSzTx/>
            <a:buFontTx/>
            <a:buNone/>
            <a:tabLst/>
            <a:defRPr/>
          </a:pPr>
          <a:r>
            <a:rPr lang="en-US" sz="1800" baseline="0">
              <a:solidFill>
                <a:sysClr val="windowText" lastClr="000000"/>
              </a:solidFill>
              <a:latin typeface="+mn-lt"/>
              <a:ea typeface="+mn-ea"/>
              <a:cs typeface="+mn-cs"/>
            </a:rPr>
            <a:t>(BCRA4_3f)</a:t>
          </a:r>
          <a:endParaRPr lang="en-US" sz="1800">
            <a:solidFill>
              <a:sysClr val="windowText" lastClr="000000"/>
            </a:solidFill>
            <a:latin typeface="+mn-lt"/>
            <a:ea typeface="+mn-ea"/>
            <a:cs typeface="+mn-cs"/>
          </a:endParaRPr>
        </a:p>
      </xdr:txBody>
    </xdr:sp>
    <xdr:clientData/>
  </xdr:twoCellAnchor>
  <xdr:twoCellAnchor>
    <xdr:from>
      <xdr:col>7</xdr:col>
      <xdr:colOff>567266</xdr:colOff>
      <xdr:row>16</xdr:row>
      <xdr:rowOff>50799</xdr:rowOff>
    </xdr:from>
    <xdr:to>
      <xdr:col>8</xdr:col>
      <xdr:colOff>524933</xdr:colOff>
      <xdr:row>21</xdr:row>
      <xdr:rowOff>67732</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3400-00000F000000}"/>
            </a:ext>
          </a:extLst>
        </xdr:cNvPr>
        <xdr:cNvSpPr/>
      </xdr:nvSpPr>
      <xdr:spPr>
        <a:xfrm>
          <a:off x="7501466" y="2760132"/>
          <a:ext cx="948267" cy="8636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200">
              <a:solidFill>
                <a:sysClr val="windowText" lastClr="000000"/>
              </a:solidFill>
            </a:rPr>
            <a:t>Minimum</a:t>
          </a:r>
          <a:r>
            <a:rPr lang="en-US" sz="1200" baseline="0">
              <a:solidFill>
                <a:sysClr val="windowText" lastClr="000000"/>
              </a:solidFill>
            </a:rPr>
            <a:t> Detectable Effect Size (</a:t>
          </a:r>
          <a:r>
            <a:rPr lang="en-US" sz="1200" baseline="0">
              <a:solidFill>
                <a:srgbClr val="FF0000"/>
              </a:solidFill>
            </a:rPr>
            <a:t>MDES</a:t>
          </a:r>
          <a:r>
            <a:rPr lang="en-US" sz="1200" baseline="0">
              <a:solidFill>
                <a:sysClr val="windowText" lastClr="000000"/>
              </a:solidFill>
            </a:rPr>
            <a:t>)</a:t>
          </a:r>
          <a:endParaRPr lang="en-US" sz="1200">
            <a:solidFill>
              <a:sysClr val="windowText" lastClr="000000"/>
            </a:solidFill>
          </a:endParaRPr>
        </a:p>
      </xdr:txBody>
    </xdr:sp>
    <xdr:clientData/>
  </xdr:twoCellAnchor>
  <xdr:twoCellAnchor>
    <xdr:from>
      <xdr:col>7</xdr:col>
      <xdr:colOff>576157</xdr:colOff>
      <xdr:row>22</xdr:row>
      <xdr:rowOff>84668</xdr:rowOff>
    </xdr:from>
    <xdr:to>
      <xdr:col>8</xdr:col>
      <xdr:colOff>533401</xdr:colOff>
      <xdr:row>27</xdr:row>
      <xdr:rowOff>25400</xdr:rowOff>
    </xdr:to>
    <xdr:sp macro="" textlink="">
      <xdr:nvSpPr>
        <xdr:cNvPr id="16" name="Rectangle 15">
          <a:hlinkClick xmlns:r="http://schemas.openxmlformats.org/officeDocument/2006/relationships" r:id="rId7"/>
          <a:extLst>
            <a:ext uri="{FF2B5EF4-FFF2-40B4-BE49-F238E27FC236}">
              <a16:creationId xmlns:a16="http://schemas.microsoft.com/office/drawing/2014/main" id="{00000000-0008-0000-3400-000010000000}"/>
            </a:ext>
          </a:extLst>
        </xdr:cNvPr>
        <xdr:cNvSpPr/>
      </xdr:nvSpPr>
      <xdr:spPr>
        <a:xfrm>
          <a:off x="7510357" y="3810001"/>
          <a:ext cx="947844" cy="78739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200">
              <a:solidFill>
                <a:srgbClr val="FF0000"/>
              </a:solidFill>
            </a:rPr>
            <a:t>Sample</a:t>
          </a:r>
          <a:r>
            <a:rPr lang="en-US" sz="1200" baseline="0">
              <a:solidFill>
                <a:srgbClr val="FF0000"/>
              </a:solidFill>
            </a:rPr>
            <a:t> Size </a:t>
          </a:r>
          <a:r>
            <a:rPr lang="en-US" sz="1200" baseline="0">
              <a:solidFill>
                <a:sysClr val="windowText" lastClr="000000"/>
              </a:solidFill>
            </a:rPr>
            <a:t>for a Given MDES</a:t>
          </a:r>
          <a:endParaRPr lang="en-US" sz="1200">
            <a:solidFill>
              <a:sysClr val="windowText" lastClr="000000"/>
            </a:solidFill>
          </a:endParaRPr>
        </a:p>
      </xdr:txBody>
    </xdr:sp>
    <xdr:clientData/>
  </xdr:twoCellAnchor>
  <xdr:twoCellAnchor>
    <xdr:from>
      <xdr:col>8</xdr:col>
      <xdr:colOff>872067</xdr:colOff>
      <xdr:row>10</xdr:row>
      <xdr:rowOff>50801</xdr:rowOff>
    </xdr:from>
    <xdr:to>
      <xdr:col>10</xdr:col>
      <xdr:colOff>304800</xdr:colOff>
      <xdr:row>27</xdr:row>
      <xdr:rowOff>152401</xdr:rowOff>
    </xdr:to>
    <xdr:sp macro="" textlink="">
      <xdr:nvSpPr>
        <xdr:cNvPr id="17" name="Rectangle 16">
          <a:extLst>
            <a:ext uri="{FF2B5EF4-FFF2-40B4-BE49-F238E27FC236}">
              <a16:creationId xmlns:a16="http://schemas.microsoft.com/office/drawing/2014/main" id="{00000000-0008-0000-3400-000011000000}"/>
            </a:ext>
          </a:extLst>
        </xdr:cNvPr>
        <xdr:cNvSpPr/>
      </xdr:nvSpPr>
      <xdr:spPr>
        <a:xfrm>
          <a:off x="8390467" y="1744134"/>
          <a:ext cx="1312333" cy="2980267"/>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1800" baseline="0">
              <a:solidFill>
                <a:sysClr val="windowText" lastClr="000000"/>
              </a:solidFill>
            </a:rPr>
            <a:t>Fixed Effects</a:t>
          </a:r>
        </a:p>
        <a:p>
          <a:pPr marL="0" marR="0" indent="0" algn="ctr" defTabSz="914400" eaLnBrk="1" fontAlgn="auto" latinLnBrk="0" hangingPunct="1">
            <a:lnSpc>
              <a:spcPct val="100000"/>
            </a:lnSpc>
            <a:spcBef>
              <a:spcPts val="0"/>
            </a:spcBef>
            <a:spcAft>
              <a:spcPts val="0"/>
            </a:spcAft>
            <a:buClrTx/>
            <a:buSzTx/>
            <a:buFontTx/>
            <a:buNone/>
            <a:tabLst/>
            <a:defRPr/>
          </a:pPr>
          <a:r>
            <a:rPr lang="en-US" sz="1800" baseline="0">
              <a:solidFill>
                <a:sysClr val="windowText" lastClr="000000"/>
              </a:solidFill>
              <a:latin typeface="+mn-lt"/>
              <a:ea typeface="+mn-ea"/>
              <a:cs typeface="+mn-cs"/>
            </a:rPr>
            <a:t>(BCRA4_3r)</a:t>
          </a:r>
          <a:endParaRPr lang="en-US" sz="1800">
            <a:solidFill>
              <a:sysClr val="windowText" lastClr="000000"/>
            </a:solidFill>
            <a:latin typeface="+mn-lt"/>
            <a:ea typeface="+mn-ea"/>
            <a:cs typeface="+mn-cs"/>
          </a:endParaRPr>
        </a:p>
      </xdr:txBody>
    </xdr:sp>
    <xdr:clientData/>
  </xdr:twoCellAnchor>
  <xdr:twoCellAnchor>
    <xdr:from>
      <xdr:col>9</xdr:col>
      <xdr:colOff>99485</xdr:colOff>
      <xdr:row>16</xdr:row>
      <xdr:rowOff>33867</xdr:rowOff>
    </xdr:from>
    <xdr:to>
      <xdr:col>10</xdr:col>
      <xdr:colOff>57152</xdr:colOff>
      <xdr:row>21</xdr:row>
      <xdr:rowOff>50800</xdr:rowOff>
    </xdr:to>
    <xdr:sp macro="" textlink="">
      <xdr:nvSpPr>
        <xdr:cNvPr id="18" name="Rectangle 17">
          <a:hlinkClick xmlns:r="http://schemas.openxmlformats.org/officeDocument/2006/relationships" r:id="rId8"/>
          <a:extLst>
            <a:ext uri="{FF2B5EF4-FFF2-40B4-BE49-F238E27FC236}">
              <a16:creationId xmlns:a16="http://schemas.microsoft.com/office/drawing/2014/main" id="{00000000-0008-0000-3400-000012000000}"/>
            </a:ext>
          </a:extLst>
        </xdr:cNvPr>
        <xdr:cNvSpPr/>
      </xdr:nvSpPr>
      <xdr:spPr>
        <a:xfrm>
          <a:off x="8633885" y="2743200"/>
          <a:ext cx="905934" cy="8636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200">
              <a:solidFill>
                <a:sysClr val="windowText" lastClr="000000"/>
              </a:solidFill>
            </a:rPr>
            <a:t>Minimum</a:t>
          </a:r>
          <a:r>
            <a:rPr lang="en-US" sz="1200" baseline="0">
              <a:solidFill>
                <a:sysClr val="windowText" lastClr="000000"/>
              </a:solidFill>
            </a:rPr>
            <a:t> Detectable Effect Size (</a:t>
          </a:r>
          <a:r>
            <a:rPr lang="en-US" sz="1200" baseline="0">
              <a:solidFill>
                <a:srgbClr val="FF0000"/>
              </a:solidFill>
            </a:rPr>
            <a:t>MDES</a:t>
          </a:r>
          <a:r>
            <a:rPr lang="en-US" sz="1200" baseline="0">
              <a:solidFill>
                <a:sysClr val="windowText" lastClr="000000"/>
              </a:solidFill>
            </a:rPr>
            <a:t>)</a:t>
          </a:r>
          <a:endParaRPr lang="en-US" sz="1200">
            <a:solidFill>
              <a:sysClr val="windowText" lastClr="000000"/>
            </a:solidFill>
          </a:endParaRPr>
        </a:p>
      </xdr:txBody>
    </xdr:sp>
    <xdr:clientData/>
  </xdr:twoCellAnchor>
  <xdr:twoCellAnchor>
    <xdr:from>
      <xdr:col>9</xdr:col>
      <xdr:colOff>108376</xdr:colOff>
      <xdr:row>22</xdr:row>
      <xdr:rowOff>67736</xdr:rowOff>
    </xdr:from>
    <xdr:to>
      <xdr:col>10</xdr:col>
      <xdr:colOff>65620</xdr:colOff>
      <xdr:row>27</xdr:row>
      <xdr:rowOff>8468</xdr:rowOff>
    </xdr:to>
    <xdr:sp macro="" textlink="">
      <xdr:nvSpPr>
        <xdr:cNvPr id="19" name="Rectangle 18">
          <a:hlinkClick xmlns:r="http://schemas.openxmlformats.org/officeDocument/2006/relationships" r:id="rId9"/>
          <a:extLst>
            <a:ext uri="{FF2B5EF4-FFF2-40B4-BE49-F238E27FC236}">
              <a16:creationId xmlns:a16="http://schemas.microsoft.com/office/drawing/2014/main" id="{00000000-0008-0000-3400-000013000000}"/>
            </a:ext>
          </a:extLst>
        </xdr:cNvPr>
        <xdr:cNvSpPr/>
      </xdr:nvSpPr>
      <xdr:spPr>
        <a:xfrm>
          <a:off x="8642776" y="3793069"/>
          <a:ext cx="905511" cy="787399"/>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200">
              <a:solidFill>
                <a:srgbClr val="FF0000"/>
              </a:solidFill>
            </a:rPr>
            <a:t>Sample</a:t>
          </a:r>
          <a:r>
            <a:rPr lang="en-US" sz="1200" baseline="0">
              <a:solidFill>
                <a:srgbClr val="FF0000"/>
              </a:solidFill>
            </a:rPr>
            <a:t> Size </a:t>
          </a:r>
          <a:r>
            <a:rPr lang="en-US" sz="1200" baseline="0">
              <a:solidFill>
                <a:sysClr val="windowText" lastClr="000000"/>
              </a:solidFill>
            </a:rPr>
            <a:t>for a Given MDES</a:t>
          </a:r>
          <a:endParaRPr lang="en-US" sz="1200">
            <a:solidFill>
              <a:sysClr val="windowText" lastClr="000000"/>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7</xdr:col>
      <xdr:colOff>209550</xdr:colOff>
      <xdr:row>3</xdr:row>
      <xdr:rowOff>25399</xdr:rowOff>
    </xdr:from>
    <xdr:to>
      <xdr:col>10</xdr:col>
      <xdr:colOff>391584</xdr:colOff>
      <xdr:row>17</xdr:row>
      <xdr:rowOff>135465</xdr:rowOff>
    </xdr:to>
    <xdr:sp macro="" textlink="">
      <xdr:nvSpPr>
        <xdr:cNvPr id="3" name="Rectangle 2">
          <a:extLst>
            <a:ext uri="{FF2B5EF4-FFF2-40B4-BE49-F238E27FC236}">
              <a16:creationId xmlns:a16="http://schemas.microsoft.com/office/drawing/2014/main" id="{00000000-0008-0000-3500-000003000000}"/>
            </a:ext>
          </a:extLst>
        </xdr:cNvPr>
        <xdr:cNvSpPr/>
      </xdr:nvSpPr>
      <xdr:spPr>
        <a:xfrm>
          <a:off x="7143750" y="533399"/>
          <a:ext cx="3153834" cy="248073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5.3 RDC_2r</a:t>
          </a:r>
        </a:p>
        <a:p>
          <a:pPr algn="ctr"/>
          <a:r>
            <a:rPr lang="en-US" sz="2400">
              <a:solidFill>
                <a:sysClr val="windowText" lastClr="000000"/>
              </a:solidFill>
            </a:rPr>
            <a:t>(2-Level CRA2_2r)</a:t>
          </a:r>
        </a:p>
      </xdr:txBody>
    </xdr:sp>
    <xdr:clientData/>
  </xdr:twoCellAnchor>
  <xdr:twoCellAnchor>
    <xdr:from>
      <xdr:col>0</xdr:col>
      <xdr:colOff>133350</xdr:colOff>
      <xdr:row>3</xdr:row>
      <xdr:rowOff>8467</xdr:rowOff>
    </xdr:from>
    <xdr:to>
      <xdr:col>3</xdr:col>
      <xdr:colOff>315384</xdr:colOff>
      <xdr:row>17</xdr:row>
      <xdr:rowOff>160866</xdr:rowOff>
    </xdr:to>
    <xdr:sp macro="" textlink="">
      <xdr:nvSpPr>
        <xdr:cNvPr id="4" name="Rectangle 3">
          <a:extLst>
            <a:ext uri="{FF2B5EF4-FFF2-40B4-BE49-F238E27FC236}">
              <a16:creationId xmlns:a16="http://schemas.microsoft.com/office/drawing/2014/main" id="{00000000-0008-0000-3500-000004000000}"/>
            </a:ext>
          </a:extLst>
        </xdr:cNvPr>
        <xdr:cNvSpPr/>
      </xdr:nvSpPr>
      <xdr:spPr>
        <a:xfrm>
          <a:off x="133350" y="516467"/>
          <a:ext cx="3153834" cy="2523066"/>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5.1 RD2_1f</a:t>
          </a:r>
        </a:p>
        <a:p>
          <a:pPr algn="ctr"/>
          <a:r>
            <a:rPr lang="en-US" sz="2400" baseline="0">
              <a:solidFill>
                <a:sysClr val="windowText" lastClr="000000"/>
              </a:solidFill>
            </a:rPr>
            <a:t>(2-Level Fixed Effects BIRA2_1f)</a:t>
          </a:r>
          <a:endParaRPr lang="en-US" sz="2400">
            <a:solidFill>
              <a:sysClr val="windowText" lastClr="000000"/>
            </a:solidFill>
          </a:endParaRPr>
        </a:p>
      </xdr:txBody>
    </xdr:sp>
    <xdr:clientData/>
  </xdr:twoCellAnchor>
  <xdr:twoCellAnchor>
    <xdr:from>
      <xdr:col>9</xdr:col>
      <xdr:colOff>234950</xdr:colOff>
      <xdr:row>35</xdr:row>
      <xdr:rowOff>16933</xdr:rowOff>
    </xdr:from>
    <xdr:to>
      <xdr:col>10</xdr:col>
      <xdr:colOff>423333</xdr:colOff>
      <xdr:row>36</xdr:row>
      <xdr:rowOff>135467</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3500-000005000000}"/>
            </a:ext>
          </a:extLst>
        </xdr:cNvPr>
        <xdr:cNvSpPr/>
      </xdr:nvSpPr>
      <xdr:spPr>
        <a:xfrm>
          <a:off x="9150350" y="5943600"/>
          <a:ext cx="1178983" cy="287867"/>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0</xdr:col>
      <xdr:colOff>328084</xdr:colOff>
      <xdr:row>11</xdr:row>
      <xdr:rowOff>67733</xdr:rowOff>
    </xdr:from>
    <xdr:to>
      <xdr:col>1</xdr:col>
      <xdr:colOff>596901</xdr:colOff>
      <xdr:row>17</xdr:row>
      <xdr:rowOff>76200</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3500-000009000000}"/>
            </a:ext>
          </a:extLst>
        </xdr:cNvPr>
        <xdr:cNvSpPr/>
      </xdr:nvSpPr>
      <xdr:spPr>
        <a:xfrm>
          <a:off x="328084" y="1930400"/>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1</xdr:col>
      <xdr:colOff>842434</xdr:colOff>
      <xdr:row>11</xdr:row>
      <xdr:rowOff>76200</xdr:rowOff>
    </xdr:from>
    <xdr:to>
      <xdr:col>3</xdr:col>
      <xdr:colOff>105834</xdr:colOff>
      <xdr:row>17</xdr:row>
      <xdr:rowOff>76200</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0000000-0008-0000-3500-00000A000000}"/>
            </a:ext>
          </a:extLst>
        </xdr:cNvPr>
        <xdr:cNvSpPr/>
      </xdr:nvSpPr>
      <xdr:spPr>
        <a:xfrm>
          <a:off x="1833034" y="1938867"/>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twoCellAnchor>
    <xdr:from>
      <xdr:col>3</xdr:col>
      <xdr:colOff>665692</xdr:colOff>
      <xdr:row>19</xdr:row>
      <xdr:rowOff>93133</xdr:rowOff>
    </xdr:from>
    <xdr:to>
      <xdr:col>6</xdr:col>
      <xdr:colOff>847726</xdr:colOff>
      <xdr:row>34</xdr:row>
      <xdr:rowOff>135466</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3637492" y="3310466"/>
          <a:ext cx="3153834" cy="258233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5.5 RD3_2f</a:t>
          </a:r>
        </a:p>
        <a:p>
          <a:pPr algn="ctr"/>
          <a:r>
            <a:rPr lang="en-US" sz="2400">
              <a:solidFill>
                <a:sysClr val="windowText" lastClr="000000"/>
              </a:solidFill>
            </a:rPr>
            <a:t>(3-Level Fixed Effects BIRA3_2f)</a:t>
          </a:r>
        </a:p>
      </xdr:txBody>
    </xdr:sp>
    <xdr:clientData/>
  </xdr:twoCellAnchor>
  <xdr:twoCellAnchor>
    <xdr:from>
      <xdr:col>3</xdr:col>
      <xdr:colOff>885825</xdr:colOff>
      <xdr:row>27</xdr:row>
      <xdr:rowOff>127001</xdr:rowOff>
    </xdr:from>
    <xdr:to>
      <xdr:col>5</xdr:col>
      <xdr:colOff>164042</xdr:colOff>
      <xdr:row>33</xdr:row>
      <xdr:rowOff>135468</xdr:rowOff>
    </xdr:to>
    <xdr:sp macro="" textlink="">
      <xdr:nvSpPr>
        <xdr:cNvPr id="13" name="Rectangle 12">
          <a:hlinkClick xmlns:r="http://schemas.openxmlformats.org/officeDocument/2006/relationships" r:id="rId4"/>
          <a:extLst>
            <a:ext uri="{FF2B5EF4-FFF2-40B4-BE49-F238E27FC236}">
              <a16:creationId xmlns:a16="http://schemas.microsoft.com/office/drawing/2014/main" id="{00000000-0008-0000-3500-00000D000000}"/>
            </a:ext>
          </a:extLst>
        </xdr:cNvPr>
        <xdr:cNvSpPr/>
      </xdr:nvSpPr>
      <xdr:spPr>
        <a:xfrm>
          <a:off x="3857625" y="4699001"/>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5</xdr:col>
      <xdr:colOff>409575</xdr:colOff>
      <xdr:row>27</xdr:row>
      <xdr:rowOff>135468</xdr:rowOff>
    </xdr:from>
    <xdr:to>
      <xdr:col>6</xdr:col>
      <xdr:colOff>663575</xdr:colOff>
      <xdr:row>33</xdr:row>
      <xdr:rowOff>135468</xdr:rowOff>
    </xdr:to>
    <xdr:sp macro="" textlink="">
      <xdr:nvSpPr>
        <xdr:cNvPr id="14" name="Rectangle 13">
          <a:hlinkClick xmlns:r="http://schemas.openxmlformats.org/officeDocument/2006/relationships" r:id="rId5"/>
          <a:extLst>
            <a:ext uri="{FF2B5EF4-FFF2-40B4-BE49-F238E27FC236}">
              <a16:creationId xmlns:a16="http://schemas.microsoft.com/office/drawing/2014/main" id="{00000000-0008-0000-3500-00000E000000}"/>
            </a:ext>
          </a:extLst>
        </xdr:cNvPr>
        <xdr:cNvSpPr/>
      </xdr:nvSpPr>
      <xdr:spPr>
        <a:xfrm>
          <a:off x="5362575" y="4707468"/>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twoCellAnchor>
    <xdr:from>
      <xdr:col>7</xdr:col>
      <xdr:colOff>463550</xdr:colOff>
      <xdr:row>10</xdr:row>
      <xdr:rowOff>169332</xdr:rowOff>
    </xdr:from>
    <xdr:to>
      <xdr:col>8</xdr:col>
      <xdr:colOff>732367</xdr:colOff>
      <xdr:row>17</xdr:row>
      <xdr:rowOff>8465</xdr:rowOff>
    </xdr:to>
    <xdr:sp macro="" textlink="">
      <xdr:nvSpPr>
        <xdr:cNvPr id="15" name="Rectangle 14">
          <a:hlinkClick xmlns:r="http://schemas.openxmlformats.org/officeDocument/2006/relationships" r:id="rId6"/>
          <a:extLst>
            <a:ext uri="{FF2B5EF4-FFF2-40B4-BE49-F238E27FC236}">
              <a16:creationId xmlns:a16="http://schemas.microsoft.com/office/drawing/2014/main" id="{00000000-0008-0000-3500-00000F000000}"/>
            </a:ext>
          </a:extLst>
        </xdr:cNvPr>
        <xdr:cNvSpPr/>
      </xdr:nvSpPr>
      <xdr:spPr>
        <a:xfrm>
          <a:off x="7397750" y="1862665"/>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8</xdr:col>
      <xdr:colOff>977900</xdr:colOff>
      <xdr:row>11</xdr:row>
      <xdr:rowOff>8465</xdr:rowOff>
    </xdr:from>
    <xdr:to>
      <xdr:col>10</xdr:col>
      <xdr:colOff>241300</xdr:colOff>
      <xdr:row>17</xdr:row>
      <xdr:rowOff>8465</xdr:rowOff>
    </xdr:to>
    <xdr:sp macro="" textlink="">
      <xdr:nvSpPr>
        <xdr:cNvPr id="16" name="Rectangle 15">
          <a:hlinkClick xmlns:r="http://schemas.openxmlformats.org/officeDocument/2006/relationships" r:id="rId7"/>
          <a:extLst>
            <a:ext uri="{FF2B5EF4-FFF2-40B4-BE49-F238E27FC236}">
              <a16:creationId xmlns:a16="http://schemas.microsoft.com/office/drawing/2014/main" id="{00000000-0008-0000-3500-000010000000}"/>
            </a:ext>
          </a:extLst>
        </xdr:cNvPr>
        <xdr:cNvSpPr/>
      </xdr:nvSpPr>
      <xdr:spPr>
        <a:xfrm>
          <a:off x="8902700" y="1871132"/>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twoCellAnchor>
    <xdr:from>
      <xdr:col>3</xdr:col>
      <xdr:colOff>681565</xdr:colOff>
      <xdr:row>3</xdr:row>
      <xdr:rowOff>16933</xdr:rowOff>
    </xdr:from>
    <xdr:to>
      <xdr:col>6</xdr:col>
      <xdr:colOff>863599</xdr:colOff>
      <xdr:row>18</xdr:row>
      <xdr:rowOff>0</xdr:rowOff>
    </xdr:to>
    <xdr:sp macro="" textlink="">
      <xdr:nvSpPr>
        <xdr:cNvPr id="8" name="Rectangle 7">
          <a:extLst>
            <a:ext uri="{FF2B5EF4-FFF2-40B4-BE49-F238E27FC236}">
              <a16:creationId xmlns:a16="http://schemas.microsoft.com/office/drawing/2014/main" id="{00000000-0008-0000-3500-000008000000}"/>
            </a:ext>
          </a:extLst>
        </xdr:cNvPr>
        <xdr:cNvSpPr/>
      </xdr:nvSpPr>
      <xdr:spPr>
        <a:xfrm>
          <a:off x="3653365" y="524933"/>
          <a:ext cx="3153834" cy="2523067"/>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5.2 RD2_1r</a:t>
          </a:r>
        </a:p>
        <a:p>
          <a:pPr algn="ctr"/>
          <a:r>
            <a:rPr lang="en-US" sz="2400">
              <a:solidFill>
                <a:sysClr val="windowText" lastClr="000000"/>
              </a:solidFill>
            </a:rPr>
            <a:t>(2-Level Random Effects BIRA2_1r)</a:t>
          </a:r>
        </a:p>
      </xdr:txBody>
    </xdr:sp>
    <xdr:clientData/>
  </xdr:twoCellAnchor>
  <xdr:twoCellAnchor>
    <xdr:from>
      <xdr:col>3</xdr:col>
      <xdr:colOff>859365</xdr:colOff>
      <xdr:row>11</xdr:row>
      <xdr:rowOff>52916</xdr:rowOff>
    </xdr:from>
    <xdr:to>
      <xdr:col>5</xdr:col>
      <xdr:colOff>137582</xdr:colOff>
      <xdr:row>17</xdr:row>
      <xdr:rowOff>61383</xdr:rowOff>
    </xdr:to>
    <xdr:sp macro="" textlink="">
      <xdr:nvSpPr>
        <xdr:cNvPr id="19" name="Rectangle 18">
          <a:hlinkClick xmlns:r="http://schemas.openxmlformats.org/officeDocument/2006/relationships" r:id="rId8"/>
          <a:extLst>
            <a:ext uri="{FF2B5EF4-FFF2-40B4-BE49-F238E27FC236}">
              <a16:creationId xmlns:a16="http://schemas.microsoft.com/office/drawing/2014/main" id="{00000000-0008-0000-3500-000013000000}"/>
            </a:ext>
          </a:extLst>
        </xdr:cNvPr>
        <xdr:cNvSpPr/>
      </xdr:nvSpPr>
      <xdr:spPr>
        <a:xfrm>
          <a:off x="3831165" y="1915583"/>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5</xdr:col>
      <xdr:colOff>383115</xdr:colOff>
      <xdr:row>11</xdr:row>
      <xdr:rowOff>61383</xdr:rowOff>
    </xdr:from>
    <xdr:to>
      <xdr:col>6</xdr:col>
      <xdr:colOff>637115</xdr:colOff>
      <xdr:row>17</xdr:row>
      <xdr:rowOff>61383</xdr:rowOff>
    </xdr:to>
    <xdr:sp macro="" textlink="">
      <xdr:nvSpPr>
        <xdr:cNvPr id="20" name="Rectangle 19">
          <a:hlinkClick xmlns:r="http://schemas.openxmlformats.org/officeDocument/2006/relationships" r:id="rId9"/>
          <a:extLst>
            <a:ext uri="{FF2B5EF4-FFF2-40B4-BE49-F238E27FC236}">
              <a16:creationId xmlns:a16="http://schemas.microsoft.com/office/drawing/2014/main" id="{00000000-0008-0000-3500-000014000000}"/>
            </a:ext>
          </a:extLst>
        </xdr:cNvPr>
        <xdr:cNvSpPr/>
      </xdr:nvSpPr>
      <xdr:spPr>
        <a:xfrm>
          <a:off x="5336115" y="1924050"/>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twoCellAnchor>
    <xdr:from>
      <xdr:col>7</xdr:col>
      <xdr:colOff>189441</xdr:colOff>
      <xdr:row>19</xdr:row>
      <xdr:rowOff>104773</xdr:rowOff>
    </xdr:from>
    <xdr:to>
      <xdr:col>10</xdr:col>
      <xdr:colOff>371475</xdr:colOff>
      <xdr:row>34</xdr:row>
      <xdr:rowOff>135466</xdr:rowOff>
    </xdr:to>
    <xdr:sp macro="" textlink="">
      <xdr:nvSpPr>
        <xdr:cNvPr id="6" name="Rectangle 5">
          <a:extLst>
            <a:ext uri="{FF2B5EF4-FFF2-40B4-BE49-F238E27FC236}">
              <a16:creationId xmlns:a16="http://schemas.microsoft.com/office/drawing/2014/main" id="{00000000-0008-0000-3500-000006000000}"/>
            </a:ext>
          </a:extLst>
        </xdr:cNvPr>
        <xdr:cNvSpPr/>
      </xdr:nvSpPr>
      <xdr:spPr>
        <a:xfrm>
          <a:off x="7123641" y="3322106"/>
          <a:ext cx="3153834" cy="2570693"/>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5.6 RD3_2r</a:t>
          </a:r>
        </a:p>
        <a:p>
          <a:pPr algn="ctr"/>
          <a:r>
            <a:rPr lang="en-US" sz="2400">
              <a:solidFill>
                <a:sysClr val="windowText" lastClr="000000"/>
              </a:solidFill>
            </a:rPr>
            <a:t>(3-Level Random Effects BCRA3_2r)</a:t>
          </a:r>
        </a:p>
      </xdr:txBody>
    </xdr:sp>
    <xdr:clientData/>
  </xdr:twoCellAnchor>
  <xdr:twoCellAnchor>
    <xdr:from>
      <xdr:col>7</xdr:col>
      <xdr:colOff>384175</xdr:colOff>
      <xdr:row>27</xdr:row>
      <xdr:rowOff>155574</xdr:rowOff>
    </xdr:from>
    <xdr:to>
      <xdr:col>8</xdr:col>
      <xdr:colOff>652992</xdr:colOff>
      <xdr:row>33</xdr:row>
      <xdr:rowOff>164041</xdr:rowOff>
    </xdr:to>
    <xdr:sp macro="" textlink="">
      <xdr:nvSpPr>
        <xdr:cNvPr id="23" name="Rectangle 22">
          <a:hlinkClick xmlns:r="http://schemas.openxmlformats.org/officeDocument/2006/relationships" r:id="rId10"/>
          <a:extLst>
            <a:ext uri="{FF2B5EF4-FFF2-40B4-BE49-F238E27FC236}">
              <a16:creationId xmlns:a16="http://schemas.microsoft.com/office/drawing/2014/main" id="{00000000-0008-0000-3500-000017000000}"/>
            </a:ext>
          </a:extLst>
        </xdr:cNvPr>
        <xdr:cNvSpPr/>
      </xdr:nvSpPr>
      <xdr:spPr>
        <a:xfrm>
          <a:off x="7318375" y="4727574"/>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8</xdr:col>
      <xdr:colOff>898525</xdr:colOff>
      <xdr:row>27</xdr:row>
      <xdr:rowOff>164041</xdr:rowOff>
    </xdr:from>
    <xdr:to>
      <xdr:col>10</xdr:col>
      <xdr:colOff>161925</xdr:colOff>
      <xdr:row>33</xdr:row>
      <xdr:rowOff>164041</xdr:rowOff>
    </xdr:to>
    <xdr:sp macro="" textlink="">
      <xdr:nvSpPr>
        <xdr:cNvPr id="24" name="Rectangle 23">
          <a:hlinkClick xmlns:r="http://schemas.openxmlformats.org/officeDocument/2006/relationships" r:id="rId11"/>
          <a:extLst>
            <a:ext uri="{FF2B5EF4-FFF2-40B4-BE49-F238E27FC236}">
              <a16:creationId xmlns:a16="http://schemas.microsoft.com/office/drawing/2014/main" id="{00000000-0008-0000-3500-000018000000}"/>
            </a:ext>
          </a:extLst>
        </xdr:cNvPr>
        <xdr:cNvSpPr/>
      </xdr:nvSpPr>
      <xdr:spPr>
        <a:xfrm>
          <a:off x="8823325" y="4736041"/>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twoCellAnchor>
    <xdr:from>
      <xdr:col>0</xdr:col>
      <xdr:colOff>131233</xdr:colOff>
      <xdr:row>19</xdr:row>
      <xdr:rowOff>97365</xdr:rowOff>
    </xdr:from>
    <xdr:to>
      <xdr:col>3</xdr:col>
      <xdr:colOff>313267</xdr:colOff>
      <xdr:row>34</xdr:row>
      <xdr:rowOff>152401</xdr:rowOff>
    </xdr:to>
    <xdr:sp macro="" textlink="">
      <xdr:nvSpPr>
        <xdr:cNvPr id="7" name="Rectangle 6">
          <a:extLst>
            <a:ext uri="{FF2B5EF4-FFF2-40B4-BE49-F238E27FC236}">
              <a16:creationId xmlns:a16="http://schemas.microsoft.com/office/drawing/2014/main" id="{00000000-0008-0000-3500-000007000000}"/>
            </a:ext>
          </a:extLst>
        </xdr:cNvPr>
        <xdr:cNvSpPr/>
      </xdr:nvSpPr>
      <xdr:spPr>
        <a:xfrm>
          <a:off x="131233" y="3314698"/>
          <a:ext cx="3153834" cy="2595036"/>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sz="2400" baseline="0">
              <a:solidFill>
                <a:sysClr val="windowText" lastClr="000000"/>
              </a:solidFill>
            </a:rPr>
            <a:t>5.4 RDC_3r</a:t>
          </a:r>
        </a:p>
        <a:p>
          <a:pPr algn="ctr"/>
          <a:r>
            <a:rPr lang="en-US" sz="2400">
              <a:solidFill>
                <a:sysClr val="windowText" lastClr="000000"/>
              </a:solidFill>
            </a:rPr>
            <a:t>(3-Level CRA3_3r)</a:t>
          </a:r>
        </a:p>
      </xdr:txBody>
    </xdr:sp>
    <xdr:clientData/>
  </xdr:twoCellAnchor>
  <xdr:twoCellAnchor>
    <xdr:from>
      <xdr:col>0</xdr:col>
      <xdr:colOff>359833</xdr:colOff>
      <xdr:row>27</xdr:row>
      <xdr:rowOff>156632</xdr:rowOff>
    </xdr:from>
    <xdr:to>
      <xdr:col>1</xdr:col>
      <xdr:colOff>628650</xdr:colOff>
      <xdr:row>33</xdr:row>
      <xdr:rowOff>165099</xdr:rowOff>
    </xdr:to>
    <xdr:sp macro="" textlink="">
      <xdr:nvSpPr>
        <xdr:cNvPr id="27" name="Rectangle 26">
          <a:hlinkClick xmlns:r="http://schemas.openxmlformats.org/officeDocument/2006/relationships" r:id="rId12"/>
          <a:extLst>
            <a:ext uri="{FF2B5EF4-FFF2-40B4-BE49-F238E27FC236}">
              <a16:creationId xmlns:a16="http://schemas.microsoft.com/office/drawing/2014/main" id="{00000000-0008-0000-3500-00001B000000}"/>
            </a:ext>
          </a:extLst>
        </xdr:cNvPr>
        <xdr:cNvSpPr/>
      </xdr:nvSpPr>
      <xdr:spPr>
        <a:xfrm>
          <a:off x="359833" y="4728632"/>
          <a:ext cx="1259417" cy="1024467"/>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ysClr val="windowText" lastClr="000000"/>
              </a:solidFill>
            </a:rPr>
            <a:t>Minimum</a:t>
          </a:r>
          <a:r>
            <a:rPr lang="en-US" sz="1600" baseline="0">
              <a:solidFill>
                <a:sysClr val="windowText" lastClr="000000"/>
              </a:solidFill>
            </a:rPr>
            <a:t> Detectable Effect Size (</a:t>
          </a:r>
          <a:r>
            <a:rPr lang="en-US" sz="1600" baseline="0">
              <a:solidFill>
                <a:srgbClr val="FF0000"/>
              </a:solidFill>
            </a:rPr>
            <a:t>MDES</a:t>
          </a:r>
          <a:r>
            <a:rPr lang="en-US" sz="1600" baseline="0">
              <a:solidFill>
                <a:sysClr val="windowText" lastClr="000000"/>
              </a:solidFill>
            </a:rPr>
            <a:t>)</a:t>
          </a:r>
          <a:endParaRPr lang="en-US" sz="1600">
            <a:solidFill>
              <a:sysClr val="windowText" lastClr="000000"/>
            </a:solidFill>
          </a:endParaRPr>
        </a:p>
      </xdr:txBody>
    </xdr:sp>
    <xdr:clientData/>
  </xdr:twoCellAnchor>
  <xdr:twoCellAnchor>
    <xdr:from>
      <xdr:col>1</xdr:col>
      <xdr:colOff>874183</xdr:colOff>
      <xdr:row>27</xdr:row>
      <xdr:rowOff>165099</xdr:rowOff>
    </xdr:from>
    <xdr:to>
      <xdr:col>3</xdr:col>
      <xdr:colOff>137583</xdr:colOff>
      <xdr:row>33</xdr:row>
      <xdr:rowOff>165099</xdr:rowOff>
    </xdr:to>
    <xdr:sp macro="" textlink="">
      <xdr:nvSpPr>
        <xdr:cNvPr id="28" name="Rectangle 27">
          <a:hlinkClick xmlns:r="http://schemas.openxmlformats.org/officeDocument/2006/relationships" r:id="rId13"/>
          <a:extLst>
            <a:ext uri="{FF2B5EF4-FFF2-40B4-BE49-F238E27FC236}">
              <a16:creationId xmlns:a16="http://schemas.microsoft.com/office/drawing/2014/main" id="{00000000-0008-0000-3500-00001C000000}"/>
            </a:ext>
          </a:extLst>
        </xdr:cNvPr>
        <xdr:cNvSpPr/>
      </xdr:nvSpPr>
      <xdr:spPr>
        <a:xfrm>
          <a:off x="1864783" y="4737099"/>
          <a:ext cx="1244600" cy="10160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600">
              <a:solidFill>
                <a:srgbClr val="FF0000"/>
              </a:solidFill>
            </a:rPr>
            <a:t>Sample</a:t>
          </a:r>
          <a:r>
            <a:rPr lang="en-US" sz="1600" baseline="0">
              <a:solidFill>
                <a:srgbClr val="FF0000"/>
              </a:solidFill>
            </a:rPr>
            <a:t> Size </a:t>
          </a:r>
          <a:r>
            <a:rPr lang="en-US" sz="1600" baseline="0">
              <a:solidFill>
                <a:sysClr val="windowText" lastClr="000000"/>
              </a:solidFill>
            </a:rPr>
            <a:t>for a Given MDES</a:t>
          </a:r>
          <a:endParaRPr lang="en-US" sz="1600">
            <a:solidFill>
              <a:sysClr val="windowText" lastClr="000000"/>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0</xdr:col>
      <xdr:colOff>1261533</xdr:colOff>
      <xdr:row>5</xdr:row>
      <xdr:rowOff>110066</xdr:rowOff>
    </xdr:from>
    <xdr:to>
      <xdr:col>5</xdr:col>
      <xdr:colOff>127000</xdr:colOff>
      <xdr:row>32</xdr:row>
      <xdr:rowOff>33866</xdr:rowOff>
    </xdr:to>
    <xdr:sp macro="" textlink="">
      <xdr:nvSpPr>
        <xdr:cNvPr id="2" name="Rectangle 1">
          <a:extLst>
            <a:ext uri="{FF2B5EF4-FFF2-40B4-BE49-F238E27FC236}">
              <a16:creationId xmlns:a16="http://schemas.microsoft.com/office/drawing/2014/main" id="{00000000-0008-0000-3600-000002000000}"/>
            </a:ext>
          </a:extLst>
        </xdr:cNvPr>
        <xdr:cNvSpPr/>
      </xdr:nvSpPr>
      <xdr:spPr>
        <a:xfrm>
          <a:off x="1261533" y="956733"/>
          <a:ext cx="7289800" cy="44958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endParaRPr lang="en-US" sz="2000" baseline="0"/>
        </a:p>
        <a:p>
          <a:pPr algn="ctr"/>
          <a:r>
            <a:rPr lang="en-US" sz="3600" baseline="0">
              <a:solidFill>
                <a:sysClr val="windowText" lastClr="000000"/>
              </a:solidFill>
            </a:rPr>
            <a:t>Interrupted Time-Series Design (ITS)</a:t>
          </a:r>
          <a:endParaRPr lang="en-US" sz="3600">
            <a:solidFill>
              <a:sysClr val="windowText" lastClr="000000"/>
            </a:solidFill>
          </a:endParaRPr>
        </a:p>
      </xdr:txBody>
    </xdr:sp>
    <xdr:clientData/>
  </xdr:twoCellAnchor>
  <xdr:twoCellAnchor>
    <xdr:from>
      <xdr:col>4</xdr:col>
      <xdr:colOff>711201</xdr:colOff>
      <xdr:row>34</xdr:row>
      <xdr:rowOff>46567</xdr:rowOff>
    </xdr:from>
    <xdr:to>
      <xdr:col>5</xdr:col>
      <xdr:colOff>143935</xdr:colOff>
      <xdr:row>37</xdr:row>
      <xdr:rowOff>65617</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3600-000004000000}"/>
            </a:ext>
          </a:extLst>
        </xdr:cNvPr>
        <xdr:cNvSpPr/>
      </xdr:nvSpPr>
      <xdr:spPr>
        <a:xfrm>
          <a:off x="7450668" y="5803900"/>
          <a:ext cx="1117600" cy="527050"/>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twoCellAnchor>
    <xdr:from>
      <xdr:col>1</xdr:col>
      <xdr:colOff>143934</xdr:colOff>
      <xdr:row>15</xdr:row>
      <xdr:rowOff>152401</xdr:rowOff>
    </xdr:from>
    <xdr:to>
      <xdr:col>2</xdr:col>
      <xdr:colOff>1173904</xdr:colOff>
      <xdr:row>29</xdr:row>
      <xdr:rowOff>8466</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3600-000005000000}"/>
            </a:ext>
          </a:extLst>
        </xdr:cNvPr>
        <xdr:cNvSpPr/>
      </xdr:nvSpPr>
      <xdr:spPr>
        <a:xfrm>
          <a:off x="1828801" y="2692401"/>
          <a:ext cx="2714836" cy="2226732"/>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000">
              <a:solidFill>
                <a:sysClr val="windowText" lastClr="000000"/>
              </a:solidFill>
            </a:rPr>
            <a:t>Minimum</a:t>
          </a:r>
          <a:r>
            <a:rPr lang="en-US" sz="3000" baseline="0">
              <a:solidFill>
                <a:sysClr val="windowText" lastClr="000000"/>
              </a:solidFill>
            </a:rPr>
            <a:t> Detectable Effect Size (</a:t>
          </a:r>
          <a:r>
            <a:rPr lang="en-US" sz="3000" baseline="0">
              <a:solidFill>
                <a:srgbClr val="FF0000"/>
              </a:solidFill>
            </a:rPr>
            <a:t>MDES</a:t>
          </a:r>
          <a:r>
            <a:rPr lang="en-US" sz="3000" baseline="0">
              <a:solidFill>
                <a:sysClr val="windowText" lastClr="000000"/>
              </a:solidFill>
            </a:rPr>
            <a:t>)</a:t>
          </a:r>
          <a:endParaRPr lang="en-US" sz="3000">
            <a:solidFill>
              <a:sysClr val="windowText" lastClr="000000"/>
            </a:solidFill>
          </a:endParaRPr>
        </a:p>
      </xdr:txBody>
    </xdr:sp>
    <xdr:clientData/>
  </xdr:twoCellAnchor>
  <xdr:twoCellAnchor>
    <xdr:from>
      <xdr:col>3</xdr:col>
      <xdr:colOff>101600</xdr:colOff>
      <xdr:row>15</xdr:row>
      <xdr:rowOff>152400</xdr:rowOff>
    </xdr:from>
    <xdr:to>
      <xdr:col>4</xdr:col>
      <xdr:colOff>1202266</xdr:colOff>
      <xdr:row>28</xdr:row>
      <xdr:rowOff>160867</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3600-000006000000}"/>
            </a:ext>
          </a:extLst>
        </xdr:cNvPr>
        <xdr:cNvSpPr/>
      </xdr:nvSpPr>
      <xdr:spPr>
        <a:xfrm>
          <a:off x="5156200" y="2692400"/>
          <a:ext cx="2785533" cy="2209800"/>
        </a:xfrm>
        <a:prstGeom prst="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3000">
              <a:solidFill>
                <a:srgbClr val="FF0000"/>
              </a:solidFill>
            </a:rPr>
            <a:t>Sample</a:t>
          </a:r>
          <a:r>
            <a:rPr lang="en-US" sz="3000" baseline="0">
              <a:solidFill>
                <a:srgbClr val="FF0000"/>
              </a:solidFill>
            </a:rPr>
            <a:t> Size </a:t>
          </a:r>
          <a:r>
            <a:rPr lang="en-US" sz="3000" baseline="0">
              <a:solidFill>
                <a:sysClr val="windowText" lastClr="000000"/>
              </a:solidFill>
            </a:rPr>
            <a:t>for a Given MDES</a:t>
          </a:r>
          <a:endParaRPr lang="en-US" sz="3000">
            <a:solidFill>
              <a:sysClr val="windowText" lastClr="000000"/>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7399020</xdr:colOff>
      <xdr:row>0</xdr:row>
      <xdr:rowOff>22860</xdr:rowOff>
    </xdr:from>
    <xdr:to>
      <xdr:col>1</xdr:col>
      <xdr:colOff>8562900</xdr:colOff>
      <xdr:row>1</xdr:row>
      <xdr:rowOff>4354</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3700-000005000000}"/>
            </a:ext>
          </a:extLst>
        </xdr:cNvPr>
        <xdr:cNvSpPr/>
      </xdr:nvSpPr>
      <xdr:spPr>
        <a:xfrm>
          <a:off x="8763000" y="22860"/>
          <a:ext cx="1163880" cy="339634"/>
        </a:xfrm>
        <a:prstGeom prst="rect">
          <a:avLst/>
        </a:prstGeom>
        <a:solidFill>
          <a:schemeClr val="accent2">
            <a:lumMod val="40000"/>
            <a:lumOff val="60000"/>
          </a:schemeClr>
        </a:solidFill>
        <a:ln>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b="1">
              <a:solidFill>
                <a:sysClr val="windowText" lastClr="000000"/>
              </a:solidFill>
            </a:rPr>
            <a:t>START</a:t>
          </a:r>
          <a:r>
            <a:rPr lang="en-US" sz="1100" b="1" baseline="0">
              <a:solidFill>
                <a:sysClr val="windowText" lastClr="000000"/>
              </a:solidFill>
            </a:rPr>
            <a:t>  OVER</a:t>
          </a:r>
          <a:endParaRPr lang="en-US" sz="1100" b="1">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oleObject" Target="../embeddings/oleObject4.bin"/><Relationship Id="rId5" Type="http://schemas.openxmlformats.org/officeDocument/2006/relationships/image" Target="../media/image3.emf"/><Relationship Id="rId4" Type="http://schemas.openxmlformats.org/officeDocument/2006/relationships/oleObject" Target="../embeddings/oleObject3.bin"/></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7.bin"/><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oleObject" Target="../embeddings/oleObject6.bin"/><Relationship Id="rId5" Type="http://schemas.openxmlformats.org/officeDocument/2006/relationships/image" Target="../media/image5.emf"/><Relationship Id="rId4" Type="http://schemas.openxmlformats.org/officeDocument/2006/relationships/oleObject" Target="../embeddings/oleObject5.bin"/><Relationship Id="rId9" Type="http://schemas.openxmlformats.org/officeDocument/2006/relationships/image" Target="../media/image7.emf"/></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9.emf"/><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oleObject" Target="../embeddings/oleObject9.bin"/><Relationship Id="rId5" Type="http://schemas.openxmlformats.org/officeDocument/2006/relationships/image" Target="../media/image8.emf"/><Relationship Id="rId4" Type="http://schemas.openxmlformats.org/officeDocument/2006/relationships/oleObject" Target="../embeddings/oleObject8.bin"/></Relationships>
</file>

<file path=xl/worksheets/_rels/sheet14.xml.rels><?xml version="1.0" encoding="UTF-8" standalone="yes"?>
<Relationships xmlns="http://schemas.openxmlformats.org/package/2006/relationships"><Relationship Id="rId8" Type="http://schemas.openxmlformats.org/officeDocument/2006/relationships/oleObject" Target="../embeddings/oleObject12.bin"/><Relationship Id="rId13" Type="http://schemas.openxmlformats.org/officeDocument/2006/relationships/oleObject" Target="../embeddings/oleObject16.bin"/><Relationship Id="rId3" Type="http://schemas.openxmlformats.org/officeDocument/2006/relationships/vmlDrawing" Target="../drawings/vmlDrawing5.vml"/><Relationship Id="rId7" Type="http://schemas.openxmlformats.org/officeDocument/2006/relationships/image" Target="../media/image10.emf"/><Relationship Id="rId12" Type="http://schemas.openxmlformats.org/officeDocument/2006/relationships/oleObject" Target="../embeddings/oleObject15.bin"/><Relationship Id="rId2" Type="http://schemas.openxmlformats.org/officeDocument/2006/relationships/drawing" Target="../drawings/drawing13.xml"/><Relationship Id="rId16" Type="http://schemas.openxmlformats.org/officeDocument/2006/relationships/oleObject" Target="../embeddings/oleObject19.bin"/><Relationship Id="rId1" Type="http://schemas.openxmlformats.org/officeDocument/2006/relationships/printerSettings" Target="../printerSettings/printerSettings14.bin"/><Relationship Id="rId6" Type="http://schemas.openxmlformats.org/officeDocument/2006/relationships/oleObject" Target="../embeddings/oleObject11.bin"/><Relationship Id="rId11" Type="http://schemas.openxmlformats.org/officeDocument/2006/relationships/oleObject" Target="../embeddings/oleObject14.bin"/><Relationship Id="rId5" Type="http://schemas.openxmlformats.org/officeDocument/2006/relationships/image" Target="../media/image5.emf"/><Relationship Id="rId15" Type="http://schemas.openxmlformats.org/officeDocument/2006/relationships/oleObject" Target="../embeddings/oleObject18.bin"/><Relationship Id="rId10" Type="http://schemas.openxmlformats.org/officeDocument/2006/relationships/oleObject" Target="../embeddings/oleObject13.bin"/><Relationship Id="rId4" Type="http://schemas.openxmlformats.org/officeDocument/2006/relationships/oleObject" Target="../embeddings/oleObject10.bin"/><Relationship Id="rId9" Type="http://schemas.openxmlformats.org/officeDocument/2006/relationships/image" Target="../media/image9.emf"/><Relationship Id="rId14" Type="http://schemas.openxmlformats.org/officeDocument/2006/relationships/oleObject" Target="../embeddings/oleObject1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2.emf"/><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oleObject" Target="../embeddings/oleObject21.bin"/><Relationship Id="rId5" Type="http://schemas.openxmlformats.org/officeDocument/2006/relationships/image" Target="../media/image11.emf"/><Relationship Id="rId4" Type="http://schemas.openxmlformats.org/officeDocument/2006/relationships/oleObject" Target="../embeddings/oleObject2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4.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oleObject" Target="../embeddings/oleObject23.bin"/><Relationship Id="rId5" Type="http://schemas.openxmlformats.org/officeDocument/2006/relationships/image" Target="../media/image1.emf"/><Relationship Id="rId4" Type="http://schemas.openxmlformats.org/officeDocument/2006/relationships/oleObject" Target="../embeddings/oleObject2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15.emf"/><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oleObject" Target="../embeddings/oleObject25.bin"/><Relationship Id="rId5" Type="http://schemas.openxmlformats.org/officeDocument/2006/relationships/image" Target="../media/image4.emf"/><Relationship Id="rId4" Type="http://schemas.openxmlformats.org/officeDocument/2006/relationships/oleObject" Target="../embeddings/oleObject2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trlProp" Target="../ctrlProps/ctrlProp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trlProp" Target="../ctrlProps/ctrlProp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5.xml"/><Relationship Id="rId1" Type="http://schemas.openxmlformats.org/officeDocument/2006/relationships/printerSettings" Target="../printerSettings/printerSettings26.bin"/><Relationship Id="rId4" Type="http://schemas.openxmlformats.org/officeDocument/2006/relationships/ctrlProp" Target="../ctrlProps/ctrlProp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4.xml"/><Relationship Id="rId5" Type="http://schemas.openxmlformats.org/officeDocument/2006/relationships/image" Target="../media/image1.emf"/><Relationship Id="rId4" Type="http://schemas.openxmlformats.org/officeDocument/2006/relationships/oleObject" Target="../embeddings/oleObject26.bin"/></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3.vml"/><Relationship Id="rId7" Type="http://schemas.openxmlformats.org/officeDocument/2006/relationships/image" Target="../media/image4.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oleObject" Target="../embeddings/oleObject28.bin"/><Relationship Id="rId5" Type="http://schemas.openxmlformats.org/officeDocument/2006/relationships/image" Target="../media/image3.emf"/><Relationship Id="rId4" Type="http://schemas.openxmlformats.org/officeDocument/2006/relationships/oleObject" Target="../embeddings/oleObject27.bin"/></Relationships>
</file>

<file path=xl/worksheets/_rels/sheet29.xml.rels><?xml version="1.0" encoding="UTF-8" standalone="yes"?>
<Relationships xmlns="http://schemas.openxmlformats.org/package/2006/relationships"><Relationship Id="rId8" Type="http://schemas.openxmlformats.org/officeDocument/2006/relationships/oleObject" Target="../embeddings/oleObject31.bin"/><Relationship Id="rId3" Type="http://schemas.openxmlformats.org/officeDocument/2006/relationships/vmlDrawing" Target="../drawings/vmlDrawing14.vml"/><Relationship Id="rId7" Type="http://schemas.openxmlformats.org/officeDocument/2006/relationships/image" Target="../media/image6.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oleObject" Target="../embeddings/oleObject30.bin"/><Relationship Id="rId5" Type="http://schemas.openxmlformats.org/officeDocument/2006/relationships/image" Target="../media/image5.emf"/><Relationship Id="rId10" Type="http://schemas.openxmlformats.org/officeDocument/2006/relationships/ctrlProp" Target="../ctrlProps/ctrlProp6.xml"/><Relationship Id="rId4" Type="http://schemas.openxmlformats.org/officeDocument/2006/relationships/oleObject" Target="../embeddings/oleObject29.bin"/><Relationship Id="rId9" Type="http://schemas.openxmlformats.org/officeDocument/2006/relationships/image" Target="../media/image7.emf"/></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9.xml"/><Relationship Id="rId1" Type="http://schemas.openxmlformats.org/officeDocument/2006/relationships/printerSettings" Target="../printerSettings/printerSettings30.bin"/><Relationship Id="rId4" Type="http://schemas.openxmlformats.org/officeDocument/2006/relationships/ctrlProp" Target="../ctrlProps/ctrlProp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0.xml"/><Relationship Id="rId1" Type="http://schemas.openxmlformats.org/officeDocument/2006/relationships/printerSettings" Target="../printerSettings/printerSettings31.bin"/><Relationship Id="rId4" Type="http://schemas.openxmlformats.org/officeDocument/2006/relationships/ctrlProp" Target="../ctrlProps/ctrlProp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1.xml"/><Relationship Id="rId1" Type="http://schemas.openxmlformats.org/officeDocument/2006/relationships/printerSettings" Target="../printerSettings/printerSettings32.bin"/><Relationship Id="rId4"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2.xml"/><Relationship Id="rId1" Type="http://schemas.openxmlformats.org/officeDocument/2006/relationships/printerSettings" Target="../printerSettings/printerSettings33.bin"/><Relationship Id="rId4" Type="http://schemas.openxmlformats.org/officeDocument/2006/relationships/ctrlProp" Target="../ctrlProps/ctrlProp1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19.vml"/><Relationship Id="rId7" Type="http://schemas.openxmlformats.org/officeDocument/2006/relationships/image" Target="../media/image16.emf"/><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oleObject" Target="../embeddings/oleObject33.bin"/><Relationship Id="rId5" Type="http://schemas.openxmlformats.org/officeDocument/2006/relationships/image" Target="../media/image4.emf"/><Relationship Id="rId4" Type="http://schemas.openxmlformats.org/officeDocument/2006/relationships/oleObject" Target="../embeddings/oleObject32.bin"/></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0.vml"/><Relationship Id="rId7" Type="http://schemas.openxmlformats.org/officeDocument/2006/relationships/image" Target="../media/image5.emf"/><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oleObject" Target="../embeddings/oleObject35.bin"/><Relationship Id="rId5" Type="http://schemas.openxmlformats.org/officeDocument/2006/relationships/image" Target="../media/image4.emf"/><Relationship Id="rId4" Type="http://schemas.openxmlformats.org/officeDocument/2006/relationships/oleObject" Target="../embeddings/oleObject34.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5.xml"/><Relationship Id="rId1" Type="http://schemas.openxmlformats.org/officeDocument/2006/relationships/printerSettings" Target="../printerSettings/printerSettings36.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14.xml"/><Relationship Id="rId5" Type="http://schemas.openxmlformats.org/officeDocument/2006/relationships/image" Target="../media/image5.emf"/><Relationship Id="rId4" Type="http://schemas.openxmlformats.org/officeDocument/2006/relationships/oleObject" Target="../embeddings/oleObject36.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7.xml"/><Relationship Id="rId1" Type="http://schemas.openxmlformats.org/officeDocument/2006/relationships/printerSettings" Target="../printerSettings/printerSettings38.bin"/><Relationship Id="rId4" Type="http://schemas.openxmlformats.org/officeDocument/2006/relationships/ctrlProp" Target="../ctrlProps/ctrlProp15.xml"/></Relationships>
</file>

<file path=xl/worksheets/_rels/sheet39.xml.rels><?xml version="1.0" encoding="UTF-8" standalone="yes"?>
<Relationships xmlns="http://schemas.openxmlformats.org/package/2006/relationships"><Relationship Id="rId8" Type="http://schemas.openxmlformats.org/officeDocument/2006/relationships/oleObject" Target="../embeddings/oleObject39.bin"/><Relationship Id="rId3" Type="http://schemas.openxmlformats.org/officeDocument/2006/relationships/vmlDrawing" Target="../drawings/vmlDrawing24.vml"/><Relationship Id="rId7" Type="http://schemas.openxmlformats.org/officeDocument/2006/relationships/image" Target="../media/image14.emf"/><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oleObject" Target="../embeddings/oleObject38.bin"/><Relationship Id="rId5" Type="http://schemas.openxmlformats.org/officeDocument/2006/relationships/image" Target="../media/image17.emf"/><Relationship Id="rId4" Type="http://schemas.openxmlformats.org/officeDocument/2006/relationships/oleObject" Target="../embeddings/oleObject37.bin"/><Relationship Id="rId9" Type="http://schemas.openxmlformats.org/officeDocument/2006/relationships/ctrlProp" Target="../ctrlProps/ctrlProp1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9.xml"/><Relationship Id="rId1" Type="http://schemas.openxmlformats.org/officeDocument/2006/relationships/printerSettings" Target="../printerSettings/printerSettings40.bin"/><Relationship Id="rId4" Type="http://schemas.openxmlformats.org/officeDocument/2006/relationships/ctrlProp" Target="../ctrlProps/ctrlProp17.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40.xml"/><Relationship Id="rId1" Type="http://schemas.openxmlformats.org/officeDocument/2006/relationships/printerSettings" Target="../printerSettings/printerSettings41.bin"/><Relationship Id="rId4" Type="http://schemas.openxmlformats.org/officeDocument/2006/relationships/ctrlProp" Target="../ctrlProps/ctrlProp18.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41.xml"/><Relationship Id="rId1" Type="http://schemas.openxmlformats.org/officeDocument/2006/relationships/printerSettings" Target="../printerSettings/printerSettings42.bin"/><Relationship Id="rId4" Type="http://schemas.openxmlformats.org/officeDocument/2006/relationships/ctrlProp" Target="../ctrlProps/ctrlProp19.xml"/></Relationships>
</file>

<file path=xl/worksheets/_rels/sheet43.xml.rels><?xml version="1.0" encoding="UTF-8" standalone="yes"?>
<Relationships xmlns="http://schemas.openxmlformats.org/package/2006/relationships"><Relationship Id="rId8" Type="http://schemas.openxmlformats.org/officeDocument/2006/relationships/oleObject" Target="../embeddings/oleObject42.bin"/><Relationship Id="rId3" Type="http://schemas.openxmlformats.org/officeDocument/2006/relationships/vmlDrawing" Target="../drawings/vmlDrawing28.vml"/><Relationship Id="rId7" Type="http://schemas.openxmlformats.org/officeDocument/2006/relationships/image" Target="../media/image19.wmf"/><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oleObject" Target="../embeddings/oleObject41.bin"/><Relationship Id="rId5" Type="http://schemas.openxmlformats.org/officeDocument/2006/relationships/image" Target="../media/image18.emf"/><Relationship Id="rId10" Type="http://schemas.openxmlformats.org/officeDocument/2006/relationships/ctrlProp" Target="../ctrlProps/ctrlProp20.xml"/><Relationship Id="rId4" Type="http://schemas.openxmlformats.org/officeDocument/2006/relationships/oleObject" Target="../embeddings/oleObject40.bin"/><Relationship Id="rId9" Type="http://schemas.openxmlformats.org/officeDocument/2006/relationships/image" Target="../media/image20.emf"/></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43.xml"/><Relationship Id="rId1" Type="http://schemas.openxmlformats.org/officeDocument/2006/relationships/printerSettings" Target="../printerSettings/printerSettings44.bin"/><Relationship Id="rId4" Type="http://schemas.openxmlformats.org/officeDocument/2006/relationships/ctrlProp" Target="../ctrlProps/ctrlProp21.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35"/>
  <sheetViews>
    <sheetView showGridLines="0" topLeftCell="B1" zoomScale="70" zoomScaleNormal="70" workbookViewId="0"/>
  </sheetViews>
  <sheetFormatPr defaultRowHeight="12.9" customHeight="1"/>
  <cols>
    <col min="1" max="1" width="5.36328125" hidden="1" customWidth="1"/>
    <col min="2" max="2" width="2.54296875" customWidth="1"/>
    <col min="3" max="13" width="13.54296875" customWidth="1"/>
  </cols>
  <sheetData>
    <row r="1" spans="3:13" ht="56.4" customHeight="1">
      <c r="D1" s="298" t="s">
        <v>416</v>
      </c>
      <c r="E1" s="298"/>
      <c r="F1" s="298"/>
      <c r="G1" s="298"/>
      <c r="H1" s="298"/>
      <c r="I1" s="298"/>
      <c r="J1" s="298"/>
      <c r="K1" s="298"/>
      <c r="L1" s="298"/>
      <c r="M1" s="90"/>
    </row>
    <row r="2" spans="3:13" ht="17.399999999999999" customHeight="1">
      <c r="C2" s="297"/>
      <c r="D2" s="297"/>
      <c r="E2" s="297"/>
      <c r="F2" s="297"/>
      <c r="G2" s="297"/>
      <c r="H2" s="297"/>
      <c r="I2" s="297"/>
      <c r="J2" s="297"/>
      <c r="K2" s="297"/>
      <c r="L2" s="297"/>
      <c r="M2" s="297"/>
    </row>
    <row r="3" spans="3:13" ht="13.25" customHeight="1">
      <c r="C3" s="295" t="s">
        <v>401</v>
      </c>
      <c r="D3" s="296"/>
      <c r="E3" s="296"/>
      <c r="F3" s="296"/>
      <c r="G3" s="296"/>
      <c r="H3" s="296"/>
      <c r="I3" s="296"/>
      <c r="J3" s="296"/>
      <c r="K3" s="296"/>
      <c r="L3" s="296"/>
      <c r="M3" s="296"/>
    </row>
    <row r="4" spans="3:13" ht="13.25" customHeight="1">
      <c r="C4" s="296"/>
      <c r="D4" s="296"/>
      <c r="E4" s="296"/>
      <c r="F4" s="296"/>
      <c r="G4" s="296"/>
      <c r="H4" s="296"/>
      <c r="I4" s="296"/>
      <c r="J4" s="296"/>
      <c r="K4" s="296"/>
      <c r="L4" s="296"/>
      <c r="M4" s="296"/>
    </row>
    <row r="5" spans="3:13" ht="13.25" customHeight="1">
      <c r="C5" s="296"/>
      <c r="D5" s="296"/>
      <c r="E5" s="296"/>
      <c r="F5" s="296"/>
      <c r="G5" s="296"/>
      <c r="H5" s="296"/>
      <c r="I5" s="296"/>
      <c r="J5" s="296"/>
      <c r="K5" s="296"/>
      <c r="L5" s="296"/>
      <c r="M5" s="296"/>
    </row>
    <row r="6" spans="3:13" ht="13.25" customHeight="1">
      <c r="C6" s="296"/>
      <c r="D6" s="296"/>
      <c r="E6" s="296"/>
      <c r="F6" s="296"/>
      <c r="G6" s="296"/>
      <c r="H6" s="296"/>
      <c r="I6" s="296"/>
      <c r="J6" s="296"/>
      <c r="K6" s="296"/>
      <c r="L6" s="296"/>
      <c r="M6" s="296"/>
    </row>
    <row r="7" spans="3:13" ht="13.25" customHeight="1">
      <c r="C7" s="296"/>
      <c r="D7" s="296"/>
      <c r="E7" s="296"/>
      <c r="F7" s="296"/>
      <c r="G7" s="296"/>
      <c r="H7" s="296"/>
      <c r="I7" s="296"/>
      <c r="J7" s="296"/>
      <c r="K7" s="296"/>
      <c r="L7" s="296"/>
      <c r="M7" s="296"/>
    </row>
    <row r="8" spans="3:13" ht="13.25" customHeight="1">
      <c r="C8" s="296"/>
      <c r="D8" s="296"/>
      <c r="E8" s="296"/>
      <c r="F8" s="296"/>
      <c r="G8" s="296"/>
      <c r="H8" s="296"/>
      <c r="I8" s="296"/>
      <c r="J8" s="296"/>
      <c r="K8" s="296"/>
      <c r="L8" s="296"/>
      <c r="M8" s="296"/>
    </row>
    <row r="9" spans="3:13" ht="13.25" customHeight="1">
      <c r="C9" s="296"/>
      <c r="D9" s="296"/>
      <c r="E9" s="296"/>
      <c r="F9" s="296"/>
      <c r="G9" s="296"/>
      <c r="H9" s="296"/>
      <c r="I9" s="296"/>
      <c r="J9" s="296"/>
      <c r="K9" s="296"/>
      <c r="L9" s="296"/>
      <c r="M9" s="296"/>
    </row>
    <row r="10" spans="3:13" ht="13.25" customHeight="1">
      <c r="C10" s="296"/>
      <c r="D10" s="296"/>
      <c r="E10" s="296"/>
      <c r="F10" s="296"/>
      <c r="G10" s="296"/>
      <c r="H10" s="296"/>
      <c r="I10" s="296"/>
      <c r="J10" s="296"/>
      <c r="K10" s="296"/>
      <c r="L10" s="296"/>
      <c r="M10" s="296"/>
    </row>
    <row r="11" spans="3:13" ht="13.25" customHeight="1">
      <c r="C11" s="296"/>
      <c r="D11" s="296"/>
      <c r="E11" s="296"/>
      <c r="F11" s="296"/>
      <c r="G11" s="296"/>
      <c r="H11" s="296"/>
      <c r="I11" s="296"/>
      <c r="J11" s="296"/>
      <c r="K11" s="296"/>
      <c r="L11" s="296"/>
      <c r="M11" s="296"/>
    </row>
    <row r="12" spans="3:13" ht="13.25" customHeight="1">
      <c r="C12" s="296"/>
      <c r="D12" s="296"/>
      <c r="E12" s="296"/>
      <c r="F12" s="296"/>
      <c r="G12" s="296"/>
      <c r="H12" s="296"/>
      <c r="I12" s="296"/>
      <c r="J12" s="296"/>
      <c r="K12" s="296"/>
      <c r="L12" s="296"/>
      <c r="M12" s="296"/>
    </row>
    <row r="13" spans="3:13" ht="13.25" customHeight="1">
      <c r="C13" s="296"/>
      <c r="D13" s="296"/>
      <c r="E13" s="296"/>
      <c r="F13" s="296"/>
      <c r="G13" s="296"/>
      <c r="H13" s="296"/>
      <c r="I13" s="296"/>
      <c r="J13" s="296"/>
      <c r="K13" s="296"/>
      <c r="L13" s="296"/>
      <c r="M13" s="296"/>
    </row>
    <row r="14" spans="3:13" ht="13.25" customHeight="1">
      <c r="C14" s="296"/>
      <c r="D14" s="296"/>
      <c r="E14" s="296"/>
      <c r="F14" s="296"/>
      <c r="G14" s="296"/>
      <c r="H14" s="296"/>
      <c r="I14" s="296"/>
      <c r="J14" s="296"/>
      <c r="K14" s="296"/>
      <c r="L14" s="296"/>
      <c r="M14" s="296"/>
    </row>
    <row r="15" spans="3:13" ht="13.25" customHeight="1">
      <c r="C15" s="296"/>
      <c r="D15" s="296"/>
      <c r="E15" s="296"/>
      <c r="F15" s="296"/>
      <c r="G15" s="296"/>
      <c r="H15" s="296"/>
      <c r="I15" s="296"/>
      <c r="J15" s="296"/>
      <c r="K15" s="296"/>
      <c r="L15" s="296"/>
      <c r="M15" s="296"/>
    </row>
    <row r="16" spans="3:13" ht="13.25" customHeight="1">
      <c r="C16" s="296"/>
      <c r="D16" s="296"/>
      <c r="E16" s="296"/>
      <c r="F16" s="296"/>
      <c r="G16" s="296"/>
      <c r="H16" s="296"/>
      <c r="I16" s="296"/>
      <c r="J16" s="296"/>
      <c r="K16" s="296"/>
      <c r="L16" s="296"/>
      <c r="M16" s="296"/>
    </row>
    <row r="17" spans="3:13" ht="13.25" customHeight="1">
      <c r="C17" s="296"/>
      <c r="D17" s="296"/>
      <c r="E17" s="296"/>
      <c r="F17" s="296"/>
      <c r="G17" s="296"/>
      <c r="H17" s="296"/>
      <c r="I17" s="296"/>
      <c r="J17" s="296"/>
      <c r="K17" s="296"/>
      <c r="L17" s="296"/>
      <c r="M17" s="296"/>
    </row>
    <row r="18" spans="3:13" ht="13.25" customHeight="1">
      <c r="C18" s="296"/>
      <c r="D18" s="296"/>
      <c r="E18" s="296"/>
      <c r="F18" s="296"/>
      <c r="G18" s="296"/>
      <c r="H18" s="296"/>
      <c r="I18" s="296"/>
      <c r="J18" s="296"/>
      <c r="K18" s="296"/>
      <c r="L18" s="296"/>
      <c r="M18" s="296"/>
    </row>
    <row r="19" spans="3:13" ht="13.25" customHeight="1">
      <c r="C19" s="296"/>
      <c r="D19" s="296"/>
      <c r="E19" s="296"/>
      <c r="F19" s="296"/>
      <c r="G19" s="296"/>
      <c r="H19" s="296"/>
      <c r="I19" s="296"/>
      <c r="J19" s="296"/>
      <c r="K19" s="296"/>
      <c r="L19" s="296"/>
      <c r="M19" s="296"/>
    </row>
    <row r="20" spans="3:13" ht="13.25" customHeight="1">
      <c r="C20" s="296"/>
      <c r="D20" s="296"/>
      <c r="E20" s="296"/>
      <c r="F20" s="296"/>
      <c r="G20" s="296"/>
      <c r="H20" s="296"/>
      <c r="I20" s="296"/>
      <c r="J20" s="296"/>
      <c r="K20" s="296"/>
      <c r="L20" s="296"/>
      <c r="M20" s="296"/>
    </row>
    <row r="21" spans="3:13" ht="13.25" customHeight="1">
      <c r="C21" s="296"/>
      <c r="D21" s="296"/>
      <c r="E21" s="296"/>
      <c r="F21" s="296"/>
      <c r="G21" s="296"/>
      <c r="H21" s="296"/>
      <c r="I21" s="296"/>
      <c r="J21" s="296"/>
      <c r="K21" s="296"/>
      <c r="L21" s="296"/>
      <c r="M21" s="296"/>
    </row>
    <row r="22" spans="3:13" ht="13.25" customHeight="1">
      <c r="C22" s="296"/>
      <c r="D22" s="296"/>
      <c r="E22" s="296"/>
      <c r="F22" s="296"/>
      <c r="G22" s="296"/>
      <c r="H22" s="296"/>
      <c r="I22" s="296"/>
      <c r="J22" s="296"/>
      <c r="K22" s="296"/>
      <c r="L22" s="296"/>
      <c r="M22" s="296"/>
    </row>
    <row r="23" spans="3:13" ht="13.25" customHeight="1">
      <c r="C23" s="296"/>
      <c r="D23" s="296"/>
      <c r="E23" s="296"/>
      <c r="F23" s="296"/>
      <c r="G23" s="296"/>
      <c r="H23" s="296"/>
      <c r="I23" s="296"/>
      <c r="J23" s="296"/>
      <c r="K23" s="296"/>
      <c r="L23" s="296"/>
      <c r="M23" s="296"/>
    </row>
    <row r="24" spans="3:13" ht="13.25" customHeight="1">
      <c r="C24" s="296"/>
      <c r="D24" s="296"/>
      <c r="E24" s="296"/>
      <c r="F24" s="296"/>
      <c r="G24" s="296"/>
      <c r="H24" s="296"/>
      <c r="I24" s="296"/>
      <c r="J24" s="296"/>
      <c r="K24" s="296"/>
      <c r="L24" s="296"/>
      <c r="M24" s="296"/>
    </row>
    <row r="25" spans="3:13" ht="13.25" customHeight="1">
      <c r="C25" s="296"/>
      <c r="D25" s="296"/>
      <c r="E25" s="296"/>
      <c r="F25" s="296"/>
      <c r="G25" s="296"/>
      <c r="H25" s="296"/>
      <c r="I25" s="296"/>
      <c r="J25" s="296"/>
      <c r="K25" s="296"/>
      <c r="L25" s="296"/>
      <c r="M25" s="296"/>
    </row>
    <row r="26" spans="3:13" ht="13.25" customHeight="1">
      <c r="C26" s="296"/>
      <c r="D26" s="296"/>
      <c r="E26" s="296"/>
      <c r="F26" s="296"/>
      <c r="G26" s="296"/>
      <c r="H26" s="296"/>
      <c r="I26" s="296"/>
      <c r="J26" s="296"/>
      <c r="K26" s="296"/>
      <c r="L26" s="296"/>
      <c r="M26" s="296"/>
    </row>
    <row r="27" spans="3:13" ht="13.25" customHeight="1">
      <c r="C27" s="296"/>
      <c r="D27" s="296"/>
      <c r="E27" s="296"/>
      <c r="F27" s="296"/>
      <c r="G27" s="296"/>
      <c r="H27" s="296"/>
      <c r="I27" s="296"/>
      <c r="J27" s="296"/>
      <c r="K27" s="296"/>
      <c r="L27" s="296"/>
      <c r="M27" s="296"/>
    </row>
    <row r="28" spans="3:13" ht="13.25" customHeight="1">
      <c r="C28" s="296"/>
      <c r="D28" s="296"/>
      <c r="E28" s="296"/>
      <c r="F28" s="296"/>
      <c r="G28" s="296"/>
      <c r="H28" s="296"/>
      <c r="I28" s="296"/>
      <c r="J28" s="296"/>
      <c r="K28" s="296"/>
      <c r="L28" s="296"/>
      <c r="M28" s="296"/>
    </row>
    <row r="29" spans="3:13" ht="13.25" customHeight="1">
      <c r="C29" s="296"/>
      <c r="D29" s="296"/>
      <c r="E29" s="296"/>
      <c r="F29" s="296"/>
      <c r="G29" s="296"/>
      <c r="H29" s="296"/>
      <c r="I29" s="296"/>
      <c r="J29" s="296"/>
      <c r="K29" s="296"/>
      <c r="L29" s="296"/>
      <c r="M29" s="296"/>
    </row>
    <row r="30" spans="3:13" ht="13.25" customHeight="1">
      <c r="C30" s="296"/>
      <c r="D30" s="296"/>
      <c r="E30" s="296"/>
      <c r="F30" s="296"/>
      <c r="G30" s="296"/>
      <c r="H30" s="296"/>
      <c r="I30" s="296"/>
      <c r="J30" s="296"/>
      <c r="K30" s="296"/>
      <c r="L30" s="296"/>
      <c r="M30" s="296"/>
    </row>
    <row r="31" spans="3:13" ht="13.25" customHeight="1">
      <c r="C31" s="296"/>
      <c r="D31" s="296"/>
      <c r="E31" s="296"/>
      <c r="F31" s="296"/>
      <c r="G31" s="296"/>
      <c r="H31" s="296"/>
      <c r="I31" s="296"/>
      <c r="J31" s="296"/>
      <c r="K31" s="296"/>
      <c r="L31" s="296"/>
      <c r="M31" s="296"/>
    </row>
    <row r="32" spans="3:13" ht="13.25" customHeight="1">
      <c r="C32" s="296"/>
      <c r="D32" s="296"/>
      <c r="E32" s="296"/>
      <c r="F32" s="296"/>
      <c r="G32" s="296"/>
      <c r="H32" s="296"/>
      <c r="I32" s="296"/>
      <c r="J32" s="296"/>
      <c r="K32" s="296"/>
      <c r="L32" s="296"/>
      <c r="M32" s="296"/>
    </row>
    <row r="33" spans="3:13" ht="13.25" customHeight="1">
      <c r="C33" s="296"/>
      <c r="D33" s="296"/>
      <c r="E33" s="296"/>
      <c r="F33" s="296"/>
      <c r="G33" s="296"/>
      <c r="H33" s="296"/>
      <c r="I33" s="296"/>
      <c r="J33" s="296"/>
      <c r="K33" s="296"/>
      <c r="L33" s="296"/>
      <c r="M33" s="296"/>
    </row>
    <row r="34" spans="3:13" ht="13.25" customHeight="1">
      <c r="C34" s="296"/>
      <c r="D34" s="296"/>
      <c r="E34" s="296"/>
      <c r="F34" s="296"/>
      <c r="G34" s="296"/>
      <c r="H34" s="296"/>
      <c r="I34" s="296"/>
      <c r="J34" s="296"/>
      <c r="K34" s="296"/>
      <c r="L34" s="296"/>
      <c r="M34" s="296"/>
    </row>
    <row r="35" spans="3:13" ht="13.25" customHeight="1">
      <c r="C35" s="296"/>
      <c r="D35" s="296"/>
      <c r="E35" s="296"/>
      <c r="F35" s="296"/>
      <c r="G35" s="296"/>
      <c r="H35" s="296"/>
      <c r="I35" s="296"/>
      <c r="J35" s="296"/>
      <c r="K35" s="296"/>
      <c r="L35" s="296"/>
      <c r="M35" s="296"/>
    </row>
  </sheetData>
  <sheetProtection selectLockedCells="1" selectUnlockedCells="1"/>
  <mergeCells count="3">
    <mergeCell ref="C3:M35"/>
    <mergeCell ref="C2:M2"/>
    <mergeCell ref="D1:L1"/>
  </mergeCells>
  <phoneticPr fontId="15" type="noConversion"/>
  <pageMargins left="0.7" right="0.7" top="0.75" bottom="0.75" header="0.3" footer="0.3"/>
  <pageSetup paperSize="9" scale="58" orientation="portrait" r:id="rId1"/>
  <headerFooter>
    <oddFooter xml:space="preserve">&amp;RPage &amp;P of &amp;N  </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J32"/>
  <sheetViews>
    <sheetView showGridLines="0" zoomScale="80" zoomScaleNormal="80" workbookViewId="0">
      <selection activeCell="B32" sqref="B32"/>
    </sheetView>
  </sheetViews>
  <sheetFormatPr defaultRowHeight="15.5"/>
  <cols>
    <col min="1" max="1" width="3.36328125" style="13" customWidth="1"/>
    <col min="2" max="2" width="28.90625" style="13" customWidth="1"/>
    <col min="3" max="3" width="11.453125" style="26" customWidth="1"/>
    <col min="4" max="4" width="17.6328125" style="26" customWidth="1"/>
    <col min="5" max="5" width="11.36328125" style="26" customWidth="1"/>
    <col min="6" max="6" width="13.36328125" style="26" customWidth="1"/>
    <col min="7" max="7" width="12.453125" style="26" customWidth="1"/>
    <col min="8" max="8" width="12.6328125" style="26" customWidth="1"/>
    <col min="9" max="9" width="13.36328125" style="27" customWidth="1"/>
    <col min="10" max="10" width="14.90625" style="13" customWidth="1"/>
    <col min="11" max="11" width="2.54296875" style="13" customWidth="1"/>
    <col min="12" max="258" width="9.08984375" style="13"/>
    <col min="259" max="259" width="22.6328125" style="13" customWidth="1"/>
    <col min="260" max="260" width="12.36328125" style="13" customWidth="1"/>
    <col min="261" max="261" width="12.453125" style="13" customWidth="1"/>
    <col min="262" max="262" width="12.6328125" style="13" customWidth="1"/>
    <col min="263" max="263" width="14.08984375" style="13" customWidth="1"/>
    <col min="264" max="264" width="83.90625" style="13" customWidth="1"/>
    <col min="265" max="514" width="9.08984375" style="13"/>
    <col min="515" max="515" width="22.6328125" style="13" customWidth="1"/>
    <col min="516" max="516" width="12.36328125" style="13" customWidth="1"/>
    <col min="517" max="517" width="12.453125" style="13" customWidth="1"/>
    <col min="518" max="518" width="12.6328125" style="13" customWidth="1"/>
    <col min="519" max="519" width="14.08984375" style="13" customWidth="1"/>
    <col min="520" max="520" width="83.90625" style="13" customWidth="1"/>
    <col min="521" max="770" width="9.08984375" style="13"/>
    <col min="771" max="771" width="22.6328125" style="13" customWidth="1"/>
    <col min="772" max="772" width="12.36328125" style="13" customWidth="1"/>
    <col min="773" max="773" width="12.453125" style="13" customWidth="1"/>
    <col min="774" max="774" width="12.6328125" style="13" customWidth="1"/>
    <col min="775" max="775" width="14.08984375" style="13" customWidth="1"/>
    <col min="776" max="776" width="83.90625" style="13" customWidth="1"/>
    <col min="777" max="1026" width="9.08984375" style="13"/>
    <col min="1027" max="1027" width="22.6328125" style="13" customWidth="1"/>
    <col min="1028" max="1028" width="12.36328125" style="13" customWidth="1"/>
    <col min="1029" max="1029" width="12.453125" style="13" customWidth="1"/>
    <col min="1030" max="1030" width="12.6328125" style="13" customWidth="1"/>
    <col min="1031" max="1031" width="14.08984375" style="13" customWidth="1"/>
    <col min="1032" max="1032" width="83.90625" style="13" customWidth="1"/>
    <col min="1033" max="1282" width="9.08984375" style="13"/>
    <col min="1283" max="1283" width="22.6328125" style="13" customWidth="1"/>
    <col min="1284" max="1284" width="12.36328125" style="13" customWidth="1"/>
    <col min="1285" max="1285" width="12.453125" style="13" customWidth="1"/>
    <col min="1286" max="1286" width="12.6328125" style="13" customWidth="1"/>
    <col min="1287" max="1287" width="14.08984375" style="13" customWidth="1"/>
    <col min="1288" max="1288" width="83.90625" style="13" customWidth="1"/>
    <col min="1289" max="1538" width="9.08984375" style="13"/>
    <col min="1539" max="1539" width="22.6328125" style="13" customWidth="1"/>
    <col min="1540" max="1540" width="12.36328125" style="13" customWidth="1"/>
    <col min="1541" max="1541" width="12.453125" style="13" customWidth="1"/>
    <col min="1542" max="1542" width="12.6328125" style="13" customWidth="1"/>
    <col min="1543" max="1543" width="14.08984375" style="13" customWidth="1"/>
    <col min="1544" max="1544" width="83.90625" style="13" customWidth="1"/>
    <col min="1545" max="1794" width="9.08984375" style="13"/>
    <col min="1795" max="1795" width="22.6328125" style="13" customWidth="1"/>
    <col min="1796" max="1796" width="12.36328125" style="13" customWidth="1"/>
    <col min="1797" max="1797" width="12.453125" style="13" customWidth="1"/>
    <col min="1798" max="1798" width="12.6328125" style="13" customWidth="1"/>
    <col min="1799" max="1799" width="14.08984375" style="13" customWidth="1"/>
    <col min="1800" max="1800" width="83.90625" style="13" customWidth="1"/>
    <col min="1801" max="2050" width="9.08984375" style="13"/>
    <col min="2051" max="2051" width="22.6328125" style="13" customWidth="1"/>
    <col min="2052" max="2052" width="12.36328125" style="13" customWidth="1"/>
    <col min="2053" max="2053" width="12.453125" style="13" customWidth="1"/>
    <col min="2054" max="2054" width="12.6328125" style="13" customWidth="1"/>
    <col min="2055" max="2055" width="14.08984375" style="13" customWidth="1"/>
    <col min="2056" max="2056" width="83.90625" style="13" customWidth="1"/>
    <col min="2057" max="2306" width="9.08984375" style="13"/>
    <col min="2307" max="2307" width="22.6328125" style="13" customWidth="1"/>
    <col min="2308" max="2308" width="12.36328125" style="13" customWidth="1"/>
    <col min="2309" max="2309" width="12.453125" style="13" customWidth="1"/>
    <col min="2310" max="2310" width="12.6328125" style="13" customWidth="1"/>
    <col min="2311" max="2311" width="14.08984375" style="13" customWidth="1"/>
    <col min="2312" max="2312" width="83.90625" style="13" customWidth="1"/>
    <col min="2313" max="2562" width="9.08984375" style="13"/>
    <col min="2563" max="2563" width="22.6328125" style="13" customWidth="1"/>
    <col min="2564" max="2564" width="12.36328125" style="13" customWidth="1"/>
    <col min="2565" max="2565" width="12.453125" style="13" customWidth="1"/>
    <col min="2566" max="2566" width="12.6328125" style="13" customWidth="1"/>
    <col min="2567" max="2567" width="14.08984375" style="13" customWidth="1"/>
    <col min="2568" max="2568" width="83.90625" style="13" customWidth="1"/>
    <col min="2569" max="2818" width="9.08984375" style="13"/>
    <col min="2819" max="2819" width="22.6328125" style="13" customWidth="1"/>
    <col min="2820" max="2820" width="12.36328125" style="13" customWidth="1"/>
    <col min="2821" max="2821" width="12.453125" style="13" customWidth="1"/>
    <col min="2822" max="2822" width="12.6328125" style="13" customWidth="1"/>
    <col min="2823" max="2823" width="14.08984375" style="13" customWidth="1"/>
    <col min="2824" max="2824" width="83.90625" style="13" customWidth="1"/>
    <col min="2825" max="3074" width="9.08984375" style="13"/>
    <col min="3075" max="3075" width="22.6328125" style="13" customWidth="1"/>
    <col min="3076" max="3076" width="12.36328125" style="13" customWidth="1"/>
    <col min="3077" max="3077" width="12.453125" style="13" customWidth="1"/>
    <col min="3078" max="3078" width="12.6328125" style="13" customWidth="1"/>
    <col min="3079" max="3079" width="14.08984375" style="13" customWidth="1"/>
    <col min="3080" max="3080" width="83.90625" style="13" customWidth="1"/>
    <col min="3081" max="3330" width="9.08984375" style="13"/>
    <col min="3331" max="3331" width="22.6328125" style="13" customWidth="1"/>
    <col min="3332" max="3332" width="12.36328125" style="13" customWidth="1"/>
    <col min="3333" max="3333" width="12.453125" style="13" customWidth="1"/>
    <col min="3334" max="3334" width="12.6328125" style="13" customWidth="1"/>
    <col min="3335" max="3335" width="14.08984375" style="13" customWidth="1"/>
    <col min="3336" max="3336" width="83.90625" style="13" customWidth="1"/>
    <col min="3337" max="3586" width="9.08984375" style="13"/>
    <col min="3587" max="3587" width="22.6328125" style="13" customWidth="1"/>
    <col min="3588" max="3588" width="12.36328125" style="13" customWidth="1"/>
    <col min="3589" max="3589" width="12.453125" style="13" customWidth="1"/>
    <col min="3590" max="3590" width="12.6328125" style="13" customWidth="1"/>
    <col min="3591" max="3591" width="14.08984375" style="13" customWidth="1"/>
    <col min="3592" max="3592" width="83.90625" style="13" customWidth="1"/>
    <col min="3593" max="3842" width="9.08984375" style="13"/>
    <col min="3843" max="3843" width="22.6328125" style="13" customWidth="1"/>
    <col min="3844" max="3844" width="12.36328125" style="13" customWidth="1"/>
    <col min="3845" max="3845" width="12.453125" style="13" customWidth="1"/>
    <col min="3846" max="3846" width="12.6328125" style="13" customWidth="1"/>
    <col min="3847" max="3847" width="14.08984375" style="13" customWidth="1"/>
    <col min="3848" max="3848" width="83.90625" style="13" customWidth="1"/>
    <col min="3849" max="4098" width="9.08984375" style="13"/>
    <col min="4099" max="4099" width="22.6328125" style="13" customWidth="1"/>
    <col min="4100" max="4100" width="12.36328125" style="13" customWidth="1"/>
    <col min="4101" max="4101" width="12.453125" style="13" customWidth="1"/>
    <col min="4102" max="4102" width="12.6328125" style="13" customWidth="1"/>
    <col min="4103" max="4103" width="14.08984375" style="13" customWidth="1"/>
    <col min="4104" max="4104" width="83.90625" style="13" customWidth="1"/>
    <col min="4105" max="4354" width="9.08984375" style="13"/>
    <col min="4355" max="4355" width="22.6328125" style="13" customWidth="1"/>
    <col min="4356" max="4356" width="12.36328125" style="13" customWidth="1"/>
    <col min="4357" max="4357" width="12.453125" style="13" customWidth="1"/>
    <col min="4358" max="4358" width="12.6328125" style="13" customWidth="1"/>
    <col min="4359" max="4359" width="14.08984375" style="13" customWidth="1"/>
    <col min="4360" max="4360" width="83.90625" style="13" customWidth="1"/>
    <col min="4361" max="4610" width="9.08984375" style="13"/>
    <col min="4611" max="4611" width="22.6328125" style="13" customWidth="1"/>
    <col min="4612" max="4612" width="12.36328125" style="13" customWidth="1"/>
    <col min="4613" max="4613" width="12.453125" style="13" customWidth="1"/>
    <col min="4614" max="4614" width="12.6328125" style="13" customWidth="1"/>
    <col min="4615" max="4615" width="14.08984375" style="13" customWidth="1"/>
    <col min="4616" max="4616" width="83.90625" style="13" customWidth="1"/>
    <col min="4617" max="4866" width="9.08984375" style="13"/>
    <col min="4867" max="4867" width="22.6328125" style="13" customWidth="1"/>
    <col min="4868" max="4868" width="12.36328125" style="13" customWidth="1"/>
    <col min="4869" max="4869" width="12.453125" style="13" customWidth="1"/>
    <col min="4870" max="4870" width="12.6328125" style="13" customWidth="1"/>
    <col min="4871" max="4871" width="14.08984375" style="13" customWidth="1"/>
    <col min="4872" max="4872" width="83.90625" style="13" customWidth="1"/>
    <col min="4873" max="5122" width="9.08984375" style="13"/>
    <col min="5123" max="5123" width="22.6328125" style="13" customWidth="1"/>
    <col min="5124" max="5124" width="12.36328125" style="13" customWidth="1"/>
    <col min="5125" max="5125" width="12.453125" style="13" customWidth="1"/>
    <col min="5126" max="5126" width="12.6328125" style="13" customWidth="1"/>
    <col min="5127" max="5127" width="14.08984375" style="13" customWidth="1"/>
    <col min="5128" max="5128" width="83.90625" style="13" customWidth="1"/>
    <col min="5129" max="5378" width="9.08984375" style="13"/>
    <col min="5379" max="5379" width="22.6328125" style="13" customWidth="1"/>
    <col min="5380" max="5380" width="12.36328125" style="13" customWidth="1"/>
    <col min="5381" max="5381" width="12.453125" style="13" customWidth="1"/>
    <col min="5382" max="5382" width="12.6328125" style="13" customWidth="1"/>
    <col min="5383" max="5383" width="14.08984375" style="13" customWidth="1"/>
    <col min="5384" max="5384" width="83.90625" style="13" customWidth="1"/>
    <col min="5385" max="5634" width="9.08984375" style="13"/>
    <col min="5635" max="5635" width="22.6328125" style="13" customWidth="1"/>
    <col min="5636" max="5636" width="12.36328125" style="13" customWidth="1"/>
    <col min="5637" max="5637" width="12.453125" style="13" customWidth="1"/>
    <col min="5638" max="5638" width="12.6328125" style="13" customWidth="1"/>
    <col min="5639" max="5639" width="14.08984375" style="13" customWidth="1"/>
    <col min="5640" max="5640" width="83.90625" style="13" customWidth="1"/>
    <col min="5641" max="5890" width="9.08984375" style="13"/>
    <col min="5891" max="5891" width="22.6328125" style="13" customWidth="1"/>
    <col min="5892" max="5892" width="12.36328125" style="13" customWidth="1"/>
    <col min="5893" max="5893" width="12.453125" style="13" customWidth="1"/>
    <col min="5894" max="5894" width="12.6328125" style="13" customWidth="1"/>
    <col min="5895" max="5895" width="14.08984375" style="13" customWidth="1"/>
    <col min="5896" max="5896" width="83.90625" style="13" customWidth="1"/>
    <col min="5897" max="6146" width="9.08984375" style="13"/>
    <col min="6147" max="6147" width="22.6328125" style="13" customWidth="1"/>
    <col min="6148" max="6148" width="12.36328125" style="13" customWidth="1"/>
    <col min="6149" max="6149" width="12.453125" style="13" customWidth="1"/>
    <col min="6150" max="6150" width="12.6328125" style="13" customWidth="1"/>
    <col min="6151" max="6151" width="14.08984375" style="13" customWidth="1"/>
    <col min="6152" max="6152" width="83.90625" style="13" customWidth="1"/>
    <col min="6153" max="6402" width="9.08984375" style="13"/>
    <col min="6403" max="6403" width="22.6328125" style="13" customWidth="1"/>
    <col min="6404" max="6404" width="12.36328125" style="13" customWidth="1"/>
    <col min="6405" max="6405" width="12.453125" style="13" customWidth="1"/>
    <col min="6406" max="6406" width="12.6328125" style="13" customWidth="1"/>
    <col min="6407" max="6407" width="14.08984375" style="13" customWidth="1"/>
    <col min="6408" max="6408" width="83.90625" style="13" customWidth="1"/>
    <col min="6409" max="6658" width="9.08984375" style="13"/>
    <col min="6659" max="6659" width="22.6328125" style="13" customWidth="1"/>
    <col min="6660" max="6660" width="12.36328125" style="13" customWidth="1"/>
    <col min="6661" max="6661" width="12.453125" style="13" customWidth="1"/>
    <col min="6662" max="6662" width="12.6328125" style="13" customWidth="1"/>
    <col min="6663" max="6663" width="14.08984375" style="13" customWidth="1"/>
    <col min="6664" max="6664" width="83.90625" style="13" customWidth="1"/>
    <col min="6665" max="6914" width="9.08984375" style="13"/>
    <col min="6915" max="6915" width="22.6328125" style="13" customWidth="1"/>
    <col min="6916" max="6916" width="12.36328125" style="13" customWidth="1"/>
    <col min="6917" max="6917" width="12.453125" style="13" customWidth="1"/>
    <col min="6918" max="6918" width="12.6328125" style="13" customWidth="1"/>
    <col min="6919" max="6919" width="14.08984375" style="13" customWidth="1"/>
    <col min="6920" max="6920" width="83.90625" style="13" customWidth="1"/>
    <col min="6921" max="7170" width="9.08984375" style="13"/>
    <col min="7171" max="7171" width="22.6328125" style="13" customWidth="1"/>
    <col min="7172" max="7172" width="12.36328125" style="13" customWidth="1"/>
    <col min="7173" max="7173" width="12.453125" style="13" customWidth="1"/>
    <col min="7174" max="7174" width="12.6328125" style="13" customWidth="1"/>
    <col min="7175" max="7175" width="14.08984375" style="13" customWidth="1"/>
    <col min="7176" max="7176" width="83.90625" style="13" customWidth="1"/>
    <col min="7177" max="7426" width="9.08984375" style="13"/>
    <col min="7427" max="7427" width="22.6328125" style="13" customWidth="1"/>
    <col min="7428" max="7428" width="12.36328125" style="13" customWidth="1"/>
    <col min="7429" max="7429" width="12.453125" style="13" customWidth="1"/>
    <col min="7430" max="7430" width="12.6328125" style="13" customWidth="1"/>
    <col min="7431" max="7431" width="14.08984375" style="13" customWidth="1"/>
    <col min="7432" max="7432" width="83.90625" style="13" customWidth="1"/>
    <col min="7433" max="7682" width="9.08984375" style="13"/>
    <col min="7683" max="7683" width="22.6328125" style="13" customWidth="1"/>
    <col min="7684" max="7684" width="12.36328125" style="13" customWidth="1"/>
    <col min="7685" max="7685" width="12.453125" style="13" customWidth="1"/>
    <col min="7686" max="7686" width="12.6328125" style="13" customWidth="1"/>
    <col min="7687" max="7687" width="14.08984375" style="13" customWidth="1"/>
    <col min="7688" max="7688" width="83.90625" style="13" customWidth="1"/>
    <col min="7689" max="7938" width="9.08984375" style="13"/>
    <col min="7939" max="7939" width="22.6328125" style="13" customWidth="1"/>
    <col min="7940" max="7940" width="12.36328125" style="13" customWidth="1"/>
    <col min="7941" max="7941" width="12.453125" style="13" customWidth="1"/>
    <col min="7942" max="7942" width="12.6328125" style="13" customWidth="1"/>
    <col min="7943" max="7943" width="14.08984375" style="13" customWidth="1"/>
    <col min="7944" max="7944" width="83.90625" style="13" customWidth="1"/>
    <col min="7945" max="8194" width="9.08984375" style="13"/>
    <col min="8195" max="8195" width="22.6328125" style="13" customWidth="1"/>
    <col min="8196" max="8196" width="12.36328125" style="13" customWidth="1"/>
    <col min="8197" max="8197" width="12.453125" style="13" customWidth="1"/>
    <col min="8198" max="8198" width="12.6328125" style="13" customWidth="1"/>
    <col min="8199" max="8199" width="14.08984375" style="13" customWidth="1"/>
    <col min="8200" max="8200" width="83.90625" style="13" customWidth="1"/>
    <col min="8201" max="8450" width="9.08984375" style="13"/>
    <col min="8451" max="8451" width="22.6328125" style="13" customWidth="1"/>
    <col min="8452" max="8452" width="12.36328125" style="13" customWidth="1"/>
    <col min="8453" max="8453" width="12.453125" style="13" customWidth="1"/>
    <col min="8454" max="8454" width="12.6328125" style="13" customWidth="1"/>
    <col min="8455" max="8455" width="14.08984375" style="13" customWidth="1"/>
    <col min="8456" max="8456" width="83.90625" style="13" customWidth="1"/>
    <col min="8457" max="8706" width="9.08984375" style="13"/>
    <col min="8707" max="8707" width="22.6328125" style="13" customWidth="1"/>
    <col min="8708" max="8708" width="12.36328125" style="13" customWidth="1"/>
    <col min="8709" max="8709" width="12.453125" style="13" customWidth="1"/>
    <col min="8710" max="8710" width="12.6328125" style="13" customWidth="1"/>
    <col min="8711" max="8711" width="14.08984375" style="13" customWidth="1"/>
    <col min="8712" max="8712" width="83.90625" style="13" customWidth="1"/>
    <col min="8713" max="8962" width="9.08984375" style="13"/>
    <col min="8963" max="8963" width="22.6328125" style="13" customWidth="1"/>
    <col min="8964" max="8964" width="12.36328125" style="13" customWidth="1"/>
    <col min="8965" max="8965" width="12.453125" style="13" customWidth="1"/>
    <col min="8966" max="8966" width="12.6328125" style="13" customWidth="1"/>
    <col min="8967" max="8967" width="14.08984375" style="13" customWidth="1"/>
    <col min="8968" max="8968" width="83.90625" style="13" customWidth="1"/>
    <col min="8969" max="9218" width="9.08984375" style="13"/>
    <col min="9219" max="9219" width="22.6328125" style="13" customWidth="1"/>
    <col min="9220" max="9220" width="12.36328125" style="13" customWidth="1"/>
    <col min="9221" max="9221" width="12.453125" style="13" customWidth="1"/>
    <col min="9222" max="9222" width="12.6328125" style="13" customWidth="1"/>
    <col min="9223" max="9223" width="14.08984375" style="13" customWidth="1"/>
    <col min="9224" max="9224" width="83.90625" style="13" customWidth="1"/>
    <col min="9225" max="9474" width="9.08984375" style="13"/>
    <col min="9475" max="9475" width="22.6328125" style="13" customWidth="1"/>
    <col min="9476" max="9476" width="12.36328125" style="13" customWidth="1"/>
    <col min="9477" max="9477" width="12.453125" style="13" customWidth="1"/>
    <col min="9478" max="9478" width="12.6328125" style="13" customWidth="1"/>
    <col min="9479" max="9479" width="14.08984375" style="13" customWidth="1"/>
    <col min="9480" max="9480" width="83.90625" style="13" customWidth="1"/>
    <col min="9481" max="9730" width="9.08984375" style="13"/>
    <col min="9731" max="9731" width="22.6328125" style="13" customWidth="1"/>
    <col min="9732" max="9732" width="12.36328125" style="13" customWidth="1"/>
    <col min="9733" max="9733" width="12.453125" style="13" customWidth="1"/>
    <col min="9734" max="9734" width="12.6328125" style="13" customWidth="1"/>
    <col min="9735" max="9735" width="14.08984375" style="13" customWidth="1"/>
    <col min="9736" max="9736" width="83.90625" style="13" customWidth="1"/>
    <col min="9737" max="9986" width="9.08984375" style="13"/>
    <col min="9987" max="9987" width="22.6328125" style="13" customWidth="1"/>
    <col min="9988" max="9988" width="12.36328125" style="13" customWidth="1"/>
    <col min="9989" max="9989" width="12.453125" style="13" customWidth="1"/>
    <col min="9990" max="9990" width="12.6328125" style="13" customWidth="1"/>
    <col min="9991" max="9991" width="14.08984375" style="13" customWidth="1"/>
    <col min="9992" max="9992" width="83.90625" style="13" customWidth="1"/>
    <col min="9993" max="10242" width="9.08984375" style="13"/>
    <col min="10243" max="10243" width="22.6328125" style="13" customWidth="1"/>
    <col min="10244" max="10244" width="12.36328125" style="13" customWidth="1"/>
    <col min="10245" max="10245" width="12.453125" style="13" customWidth="1"/>
    <col min="10246" max="10246" width="12.6328125" style="13" customWidth="1"/>
    <col min="10247" max="10247" width="14.08984375" style="13" customWidth="1"/>
    <col min="10248" max="10248" width="83.90625" style="13" customWidth="1"/>
    <col min="10249" max="10498" width="9.08984375" style="13"/>
    <col min="10499" max="10499" width="22.6328125" style="13" customWidth="1"/>
    <col min="10500" max="10500" width="12.36328125" style="13" customWidth="1"/>
    <col min="10501" max="10501" width="12.453125" style="13" customWidth="1"/>
    <col min="10502" max="10502" width="12.6328125" style="13" customWidth="1"/>
    <col min="10503" max="10503" width="14.08984375" style="13" customWidth="1"/>
    <col min="10504" max="10504" width="83.90625" style="13" customWidth="1"/>
    <col min="10505" max="10754" width="9.08984375" style="13"/>
    <col min="10755" max="10755" width="22.6328125" style="13" customWidth="1"/>
    <col min="10756" max="10756" width="12.36328125" style="13" customWidth="1"/>
    <col min="10757" max="10757" width="12.453125" style="13" customWidth="1"/>
    <col min="10758" max="10758" width="12.6328125" style="13" customWidth="1"/>
    <col min="10759" max="10759" width="14.08984375" style="13" customWidth="1"/>
    <col min="10760" max="10760" width="83.90625" style="13" customWidth="1"/>
    <col min="10761" max="11010" width="9.08984375" style="13"/>
    <col min="11011" max="11011" width="22.6328125" style="13" customWidth="1"/>
    <col min="11012" max="11012" width="12.36328125" style="13" customWidth="1"/>
    <col min="11013" max="11013" width="12.453125" style="13" customWidth="1"/>
    <col min="11014" max="11014" width="12.6328125" style="13" customWidth="1"/>
    <col min="11015" max="11015" width="14.08984375" style="13" customWidth="1"/>
    <col min="11016" max="11016" width="83.90625" style="13" customWidth="1"/>
    <col min="11017" max="11266" width="9.08984375" style="13"/>
    <col min="11267" max="11267" width="22.6328125" style="13" customWidth="1"/>
    <col min="11268" max="11268" width="12.36328125" style="13" customWidth="1"/>
    <col min="11269" max="11269" width="12.453125" style="13" customWidth="1"/>
    <col min="11270" max="11270" width="12.6328125" style="13" customWidth="1"/>
    <col min="11271" max="11271" width="14.08984375" style="13" customWidth="1"/>
    <col min="11272" max="11272" width="83.90625" style="13" customWidth="1"/>
    <col min="11273" max="11522" width="9.08984375" style="13"/>
    <col min="11523" max="11523" width="22.6328125" style="13" customWidth="1"/>
    <col min="11524" max="11524" width="12.36328125" style="13" customWidth="1"/>
    <col min="11525" max="11525" width="12.453125" style="13" customWidth="1"/>
    <col min="11526" max="11526" width="12.6328125" style="13" customWidth="1"/>
    <col min="11527" max="11527" width="14.08984375" style="13" customWidth="1"/>
    <col min="11528" max="11528" width="83.90625" style="13" customWidth="1"/>
    <col min="11529" max="11778" width="9.08984375" style="13"/>
    <col min="11779" max="11779" width="22.6328125" style="13" customWidth="1"/>
    <col min="11780" max="11780" width="12.36328125" style="13" customWidth="1"/>
    <col min="11781" max="11781" width="12.453125" style="13" customWidth="1"/>
    <col min="11782" max="11782" width="12.6328125" style="13" customWidth="1"/>
    <col min="11783" max="11783" width="14.08984375" style="13" customWidth="1"/>
    <col min="11784" max="11784" width="83.90625" style="13" customWidth="1"/>
    <col min="11785" max="12034" width="9.08984375" style="13"/>
    <col min="12035" max="12035" width="22.6328125" style="13" customWidth="1"/>
    <col min="12036" max="12036" width="12.36328125" style="13" customWidth="1"/>
    <col min="12037" max="12037" width="12.453125" style="13" customWidth="1"/>
    <col min="12038" max="12038" width="12.6328125" style="13" customWidth="1"/>
    <col min="12039" max="12039" width="14.08984375" style="13" customWidth="1"/>
    <col min="12040" max="12040" width="83.90625" style="13" customWidth="1"/>
    <col min="12041" max="12290" width="9.08984375" style="13"/>
    <col min="12291" max="12291" width="22.6328125" style="13" customWidth="1"/>
    <col min="12292" max="12292" width="12.36328125" style="13" customWidth="1"/>
    <col min="12293" max="12293" width="12.453125" style="13" customWidth="1"/>
    <col min="12294" max="12294" width="12.6328125" style="13" customWidth="1"/>
    <col min="12295" max="12295" width="14.08984375" style="13" customWidth="1"/>
    <col min="12296" max="12296" width="83.90625" style="13" customWidth="1"/>
    <col min="12297" max="12546" width="9.08984375" style="13"/>
    <col min="12547" max="12547" width="22.6328125" style="13" customWidth="1"/>
    <col min="12548" max="12548" width="12.36328125" style="13" customWidth="1"/>
    <col min="12549" max="12549" width="12.453125" style="13" customWidth="1"/>
    <col min="12550" max="12550" width="12.6328125" style="13" customWidth="1"/>
    <col min="12551" max="12551" width="14.08984375" style="13" customWidth="1"/>
    <col min="12552" max="12552" width="83.90625" style="13" customWidth="1"/>
    <col min="12553" max="12802" width="9.08984375" style="13"/>
    <col min="12803" max="12803" width="22.6328125" style="13" customWidth="1"/>
    <col min="12804" max="12804" width="12.36328125" style="13" customWidth="1"/>
    <col min="12805" max="12805" width="12.453125" style="13" customWidth="1"/>
    <col min="12806" max="12806" width="12.6328125" style="13" customWidth="1"/>
    <col min="12807" max="12807" width="14.08984375" style="13" customWidth="1"/>
    <col min="12808" max="12808" width="83.90625" style="13" customWidth="1"/>
    <col min="12809" max="13058" width="9.08984375" style="13"/>
    <col min="13059" max="13059" width="22.6328125" style="13" customWidth="1"/>
    <col min="13060" max="13060" width="12.36328125" style="13" customWidth="1"/>
    <col min="13061" max="13061" width="12.453125" style="13" customWidth="1"/>
    <col min="13062" max="13062" width="12.6328125" style="13" customWidth="1"/>
    <col min="13063" max="13063" width="14.08984375" style="13" customWidth="1"/>
    <col min="13064" max="13064" width="83.90625" style="13" customWidth="1"/>
    <col min="13065" max="13314" width="9.08984375" style="13"/>
    <col min="13315" max="13315" width="22.6328125" style="13" customWidth="1"/>
    <col min="13316" max="13316" width="12.36328125" style="13" customWidth="1"/>
    <col min="13317" max="13317" width="12.453125" style="13" customWidth="1"/>
    <col min="13318" max="13318" width="12.6328125" style="13" customWidth="1"/>
    <col min="13319" max="13319" width="14.08984375" style="13" customWidth="1"/>
    <col min="13320" max="13320" width="83.90625" style="13" customWidth="1"/>
    <col min="13321" max="13570" width="9.08984375" style="13"/>
    <col min="13571" max="13571" width="22.6328125" style="13" customWidth="1"/>
    <col min="13572" max="13572" width="12.36328125" style="13" customWidth="1"/>
    <col min="13573" max="13573" width="12.453125" style="13" customWidth="1"/>
    <col min="13574" max="13574" width="12.6328125" style="13" customWidth="1"/>
    <col min="13575" max="13575" width="14.08984375" style="13" customWidth="1"/>
    <col min="13576" max="13576" width="83.90625" style="13" customWidth="1"/>
    <col min="13577" max="13826" width="9.08984375" style="13"/>
    <col min="13827" max="13827" width="22.6328125" style="13" customWidth="1"/>
    <col min="13828" max="13828" width="12.36328125" style="13" customWidth="1"/>
    <col min="13829" max="13829" width="12.453125" style="13" customWidth="1"/>
    <col min="13830" max="13830" width="12.6328125" style="13" customWidth="1"/>
    <col min="13831" max="13831" width="14.08984375" style="13" customWidth="1"/>
    <col min="13832" max="13832" width="83.90625" style="13" customWidth="1"/>
    <col min="13833" max="14082" width="9.08984375" style="13"/>
    <col min="14083" max="14083" width="22.6328125" style="13" customWidth="1"/>
    <col min="14084" max="14084" width="12.36328125" style="13" customWidth="1"/>
    <col min="14085" max="14085" width="12.453125" style="13" customWidth="1"/>
    <col min="14086" max="14086" width="12.6328125" style="13" customWidth="1"/>
    <col min="14087" max="14087" width="14.08984375" style="13" customWidth="1"/>
    <col min="14088" max="14088" width="83.90625" style="13" customWidth="1"/>
    <col min="14089" max="14338" width="9.08984375" style="13"/>
    <col min="14339" max="14339" width="22.6328125" style="13" customWidth="1"/>
    <col min="14340" max="14340" width="12.36328125" style="13" customWidth="1"/>
    <col min="14341" max="14341" width="12.453125" style="13" customWidth="1"/>
    <col min="14342" max="14342" width="12.6328125" style="13" customWidth="1"/>
    <col min="14343" max="14343" width="14.08984375" style="13" customWidth="1"/>
    <col min="14344" max="14344" width="83.90625" style="13" customWidth="1"/>
    <col min="14345" max="14594" width="9.08984375" style="13"/>
    <col min="14595" max="14595" width="22.6328125" style="13" customWidth="1"/>
    <col min="14596" max="14596" width="12.36328125" style="13" customWidth="1"/>
    <col min="14597" max="14597" width="12.453125" style="13" customWidth="1"/>
    <col min="14598" max="14598" width="12.6328125" style="13" customWidth="1"/>
    <col min="14599" max="14599" width="14.08984375" style="13" customWidth="1"/>
    <col min="14600" max="14600" width="83.90625" style="13" customWidth="1"/>
    <col min="14601" max="14850" width="9.08984375" style="13"/>
    <col min="14851" max="14851" width="22.6328125" style="13" customWidth="1"/>
    <col min="14852" max="14852" width="12.36328125" style="13" customWidth="1"/>
    <col min="14853" max="14853" width="12.453125" style="13" customWidth="1"/>
    <col min="14854" max="14854" width="12.6328125" style="13" customWidth="1"/>
    <col min="14855" max="14855" width="14.08984375" style="13" customWidth="1"/>
    <col min="14856" max="14856" width="83.90625" style="13" customWidth="1"/>
    <col min="14857" max="15106" width="9.08984375" style="13"/>
    <col min="15107" max="15107" width="22.6328125" style="13" customWidth="1"/>
    <col min="15108" max="15108" width="12.36328125" style="13" customWidth="1"/>
    <col min="15109" max="15109" width="12.453125" style="13" customWidth="1"/>
    <col min="15110" max="15110" width="12.6328125" style="13" customWidth="1"/>
    <col min="15111" max="15111" width="14.08984375" style="13" customWidth="1"/>
    <col min="15112" max="15112" width="83.90625" style="13" customWidth="1"/>
    <col min="15113" max="15362" width="9.08984375" style="13"/>
    <col min="15363" max="15363" width="22.6328125" style="13" customWidth="1"/>
    <col min="15364" max="15364" width="12.36328125" style="13" customWidth="1"/>
    <col min="15365" max="15365" width="12.453125" style="13" customWidth="1"/>
    <col min="15366" max="15366" width="12.6328125" style="13" customWidth="1"/>
    <col min="15367" max="15367" width="14.08984375" style="13" customWidth="1"/>
    <col min="15368" max="15368" width="83.90625" style="13" customWidth="1"/>
    <col min="15369" max="15618" width="9.08984375" style="13"/>
    <col min="15619" max="15619" width="22.6328125" style="13" customWidth="1"/>
    <col min="15620" max="15620" width="12.36328125" style="13" customWidth="1"/>
    <col min="15621" max="15621" width="12.453125" style="13" customWidth="1"/>
    <col min="15622" max="15622" width="12.6328125" style="13" customWidth="1"/>
    <col min="15623" max="15623" width="14.08984375" style="13" customWidth="1"/>
    <col min="15624" max="15624" width="83.90625" style="13" customWidth="1"/>
    <col min="15625" max="15874" width="9.08984375" style="13"/>
    <col min="15875" max="15875" width="22.6328125" style="13" customWidth="1"/>
    <col min="15876" max="15876" width="12.36328125" style="13" customWidth="1"/>
    <col min="15877" max="15877" width="12.453125" style="13" customWidth="1"/>
    <col min="15878" max="15878" width="12.6328125" style="13" customWidth="1"/>
    <col min="15879" max="15879" width="14.08984375" style="13" customWidth="1"/>
    <col min="15880" max="15880" width="83.90625" style="13" customWidth="1"/>
    <col min="15881" max="16130" width="9.08984375" style="13"/>
    <col min="16131" max="16131" width="22.6328125" style="13" customWidth="1"/>
    <col min="16132" max="16132" width="12.36328125" style="13" customWidth="1"/>
    <col min="16133" max="16133" width="12.453125" style="13" customWidth="1"/>
    <col min="16134" max="16134" width="12.6328125" style="13" customWidth="1"/>
    <col min="16135" max="16135" width="14.08984375" style="13" customWidth="1"/>
    <col min="16136" max="16136" width="83.90625" style="13" customWidth="1"/>
    <col min="16137" max="16384" width="9.08984375" style="13"/>
  </cols>
  <sheetData>
    <row r="1" spans="2:10" ht="27.65" customHeight="1">
      <c r="B1" s="304" t="s">
        <v>417</v>
      </c>
      <c r="C1" s="304"/>
      <c r="D1" s="304"/>
      <c r="E1" s="304"/>
      <c r="F1" s="304"/>
      <c r="G1" s="304"/>
      <c r="H1" s="304"/>
      <c r="I1" s="304"/>
      <c r="J1" s="304"/>
    </row>
    <row r="2" spans="2:10">
      <c r="B2" s="11"/>
      <c r="C2" s="12">
        <v>1</v>
      </c>
      <c r="D2" s="12">
        <v>2</v>
      </c>
      <c r="E2" s="12">
        <v>3</v>
      </c>
      <c r="F2" s="12">
        <v>4</v>
      </c>
      <c r="G2" s="12">
        <v>5</v>
      </c>
      <c r="H2" s="12">
        <v>6</v>
      </c>
      <c r="I2" s="42" t="s">
        <v>140</v>
      </c>
      <c r="J2" s="12">
        <v>8</v>
      </c>
    </row>
    <row r="3" spans="2:10">
      <c r="B3" s="43"/>
      <c r="C3" s="302" t="s">
        <v>142</v>
      </c>
      <c r="D3" s="302" t="s">
        <v>143</v>
      </c>
      <c r="E3" s="302" t="s">
        <v>144</v>
      </c>
      <c r="F3" s="302" t="s">
        <v>97</v>
      </c>
      <c r="G3" s="302" t="s">
        <v>102</v>
      </c>
      <c r="H3" s="302" t="s">
        <v>77</v>
      </c>
      <c r="I3" s="305" t="s">
        <v>141</v>
      </c>
      <c r="J3" s="306"/>
    </row>
    <row r="4" spans="2:10" ht="31">
      <c r="B4" s="44" t="s">
        <v>70</v>
      </c>
      <c r="C4" s="303"/>
      <c r="D4" s="303"/>
      <c r="E4" s="303"/>
      <c r="F4" s="303"/>
      <c r="G4" s="303"/>
      <c r="H4" s="303"/>
      <c r="I4" s="45" t="s">
        <v>145</v>
      </c>
      <c r="J4" s="46" t="s">
        <v>146</v>
      </c>
    </row>
    <row r="5" spans="2:10" ht="21" customHeight="1">
      <c r="B5" s="51" t="s">
        <v>147</v>
      </c>
      <c r="C5" s="52"/>
      <c r="D5" s="52"/>
      <c r="E5" s="52"/>
      <c r="F5" s="52"/>
      <c r="G5" s="52"/>
      <c r="H5" s="52"/>
      <c r="I5" s="53"/>
      <c r="J5" s="54"/>
    </row>
    <row r="6" spans="2:10" ht="21" customHeight="1">
      <c r="B6" s="47" t="s">
        <v>163</v>
      </c>
      <c r="C6" s="48"/>
      <c r="D6" s="48"/>
      <c r="E6" s="48"/>
      <c r="F6" s="48"/>
      <c r="G6" s="48"/>
      <c r="H6" s="48"/>
      <c r="I6" s="49"/>
      <c r="J6" s="50"/>
    </row>
    <row r="7" spans="2:10" ht="31">
      <c r="B7" s="14" t="s">
        <v>148</v>
      </c>
      <c r="C7" s="15">
        <f>1</f>
        <v>1</v>
      </c>
      <c r="D7" s="12" t="s">
        <v>100</v>
      </c>
      <c r="E7" s="12">
        <v>1</v>
      </c>
      <c r="F7" s="12" t="s">
        <v>98</v>
      </c>
      <c r="G7" s="12">
        <v>1</v>
      </c>
      <c r="H7" s="16" t="s">
        <v>103</v>
      </c>
      <c r="I7" s="29" t="s">
        <v>95</v>
      </c>
      <c r="J7" s="30" t="s">
        <v>104</v>
      </c>
    </row>
    <row r="8" spans="2:10" ht="21" customHeight="1">
      <c r="B8" s="307" t="s">
        <v>149</v>
      </c>
      <c r="C8" s="17">
        <v>2.1</v>
      </c>
      <c r="D8" s="299" t="s">
        <v>101</v>
      </c>
      <c r="E8" s="11">
        <v>2</v>
      </c>
      <c r="F8" s="11" t="s">
        <v>98</v>
      </c>
      <c r="G8" s="12">
        <v>1</v>
      </c>
      <c r="H8" s="16" t="s">
        <v>79</v>
      </c>
      <c r="I8" s="29" t="s">
        <v>178</v>
      </c>
      <c r="J8" s="30" t="s">
        <v>177</v>
      </c>
    </row>
    <row r="9" spans="2:10" ht="21" customHeight="1">
      <c r="B9" s="308"/>
      <c r="C9" s="17">
        <v>2.2000000000000002</v>
      </c>
      <c r="D9" s="300"/>
      <c r="E9" s="11">
        <v>2</v>
      </c>
      <c r="F9" s="11" t="s">
        <v>98</v>
      </c>
      <c r="G9" s="12">
        <v>1</v>
      </c>
      <c r="H9" s="16" t="s">
        <v>80</v>
      </c>
      <c r="I9" s="29" t="s">
        <v>176</v>
      </c>
      <c r="J9" s="30" t="s">
        <v>175</v>
      </c>
    </row>
    <row r="10" spans="2:10" ht="21" customHeight="1">
      <c r="B10" s="308"/>
      <c r="C10" s="17">
        <v>2.2999999999999998</v>
      </c>
      <c r="D10" s="300"/>
      <c r="E10" s="11">
        <v>2</v>
      </c>
      <c r="F10" s="11" t="s">
        <v>98</v>
      </c>
      <c r="G10" s="12">
        <v>1</v>
      </c>
      <c r="H10" s="16" t="s">
        <v>78</v>
      </c>
      <c r="I10" s="29" t="s">
        <v>174</v>
      </c>
      <c r="J10" s="30" t="s">
        <v>173</v>
      </c>
    </row>
    <row r="11" spans="2:10" ht="21" customHeight="1">
      <c r="B11" s="308"/>
      <c r="C11" s="17">
        <v>2.4</v>
      </c>
      <c r="D11" s="300"/>
      <c r="E11" s="11">
        <v>3</v>
      </c>
      <c r="F11" s="12" t="s">
        <v>98</v>
      </c>
      <c r="G11" s="12">
        <v>1</v>
      </c>
      <c r="H11" s="16" t="s">
        <v>78</v>
      </c>
      <c r="I11" s="29" t="s">
        <v>172</v>
      </c>
      <c r="J11" s="30" t="s">
        <v>171</v>
      </c>
    </row>
    <row r="12" spans="2:10" ht="21" customHeight="1">
      <c r="B12" s="309"/>
      <c r="C12" s="17">
        <v>2.5</v>
      </c>
      <c r="D12" s="301"/>
      <c r="E12" s="11">
        <v>4</v>
      </c>
      <c r="F12" s="12" t="s">
        <v>98</v>
      </c>
      <c r="G12" s="12">
        <v>1</v>
      </c>
      <c r="H12" s="16" t="s">
        <v>78</v>
      </c>
      <c r="I12" s="29" t="s">
        <v>170</v>
      </c>
      <c r="J12" s="30" t="s">
        <v>169</v>
      </c>
    </row>
    <row r="13" spans="2:10" ht="21" customHeight="1">
      <c r="B13" s="55" t="s">
        <v>162</v>
      </c>
      <c r="C13" s="48"/>
      <c r="D13" s="56"/>
      <c r="E13" s="56"/>
      <c r="F13" s="56"/>
      <c r="G13" s="56"/>
      <c r="H13" s="56"/>
      <c r="I13" s="57"/>
      <c r="J13" s="58"/>
    </row>
    <row r="14" spans="2:10" ht="21" customHeight="1">
      <c r="B14" s="307" t="s">
        <v>179</v>
      </c>
      <c r="C14" s="17">
        <v>3.1</v>
      </c>
      <c r="D14" s="310" t="s">
        <v>100</v>
      </c>
      <c r="E14" s="12">
        <v>2</v>
      </c>
      <c r="F14" s="299" t="s">
        <v>99</v>
      </c>
      <c r="G14" s="12">
        <v>2</v>
      </c>
      <c r="H14" s="16" t="s">
        <v>78</v>
      </c>
      <c r="I14" s="35" t="s">
        <v>208</v>
      </c>
      <c r="J14" s="36" t="s">
        <v>211</v>
      </c>
    </row>
    <row r="15" spans="2:10" ht="21" customHeight="1">
      <c r="B15" s="308"/>
      <c r="C15" s="17">
        <v>3.2</v>
      </c>
      <c r="D15" s="311"/>
      <c r="E15" s="12">
        <v>3</v>
      </c>
      <c r="F15" s="300"/>
      <c r="G15" s="12">
        <v>3</v>
      </c>
      <c r="H15" s="16" t="s">
        <v>78</v>
      </c>
      <c r="I15" s="35" t="s">
        <v>209</v>
      </c>
      <c r="J15" s="36" t="s">
        <v>212</v>
      </c>
    </row>
    <row r="16" spans="2:10" ht="21" customHeight="1">
      <c r="B16" s="309"/>
      <c r="C16" s="17">
        <v>3.3</v>
      </c>
      <c r="D16" s="312"/>
      <c r="E16" s="12">
        <v>4</v>
      </c>
      <c r="F16" s="301"/>
      <c r="G16" s="12">
        <v>4</v>
      </c>
      <c r="H16" s="16" t="s">
        <v>78</v>
      </c>
      <c r="I16" s="35" t="s">
        <v>210</v>
      </c>
      <c r="J16" s="36" t="s">
        <v>213</v>
      </c>
    </row>
    <row r="17" spans="2:10" ht="21" customHeight="1">
      <c r="B17" s="307" t="s">
        <v>180</v>
      </c>
      <c r="C17" s="17">
        <v>4.0999999999999996</v>
      </c>
      <c r="D17" s="18" t="s">
        <v>101</v>
      </c>
      <c r="E17" s="11">
        <v>3</v>
      </c>
      <c r="F17" s="12" t="s">
        <v>99</v>
      </c>
      <c r="G17" s="12">
        <v>2</v>
      </c>
      <c r="H17" s="16" t="s">
        <v>80</v>
      </c>
      <c r="I17" s="31" t="s">
        <v>150</v>
      </c>
      <c r="J17" s="30" t="s">
        <v>151</v>
      </c>
    </row>
    <row r="18" spans="2:10" ht="21" customHeight="1">
      <c r="B18" s="308"/>
      <c r="C18" s="17">
        <v>4.2</v>
      </c>
      <c r="D18" s="18" t="s">
        <v>101</v>
      </c>
      <c r="E18" s="11">
        <v>3</v>
      </c>
      <c r="F18" s="12" t="s">
        <v>99</v>
      </c>
      <c r="G18" s="12">
        <v>2</v>
      </c>
      <c r="H18" s="16" t="s">
        <v>78</v>
      </c>
      <c r="I18" s="29" t="s">
        <v>152</v>
      </c>
      <c r="J18" s="30" t="s">
        <v>168</v>
      </c>
    </row>
    <row r="19" spans="2:10" ht="21" customHeight="1">
      <c r="B19" s="308"/>
      <c r="C19" s="17">
        <v>4.3</v>
      </c>
      <c r="D19" s="18" t="s">
        <v>101</v>
      </c>
      <c r="E19" s="11">
        <v>4</v>
      </c>
      <c r="F19" s="12" t="s">
        <v>99</v>
      </c>
      <c r="G19" s="12">
        <v>2</v>
      </c>
      <c r="H19" s="16" t="s">
        <v>78</v>
      </c>
      <c r="I19" s="29" t="s">
        <v>153</v>
      </c>
      <c r="J19" s="30" t="s">
        <v>154</v>
      </c>
    </row>
    <row r="20" spans="2:10" ht="21" customHeight="1">
      <c r="B20" s="308"/>
      <c r="C20" s="17">
        <v>4.4000000000000004</v>
      </c>
      <c r="D20" s="18" t="s">
        <v>101</v>
      </c>
      <c r="E20" s="11">
        <v>4</v>
      </c>
      <c r="F20" s="12" t="s">
        <v>99</v>
      </c>
      <c r="G20" s="12">
        <v>3</v>
      </c>
      <c r="H20" s="16" t="s">
        <v>80</v>
      </c>
      <c r="I20" s="29" t="s">
        <v>155</v>
      </c>
      <c r="J20" s="30" t="s">
        <v>156</v>
      </c>
    </row>
    <row r="21" spans="2:10" ht="21" customHeight="1">
      <c r="B21" s="309"/>
      <c r="C21" s="19">
        <v>4.5</v>
      </c>
      <c r="D21" s="18" t="s">
        <v>101</v>
      </c>
      <c r="E21" s="11">
        <v>4</v>
      </c>
      <c r="F21" s="11" t="s">
        <v>99</v>
      </c>
      <c r="G21" s="11">
        <v>3</v>
      </c>
      <c r="H21" s="20" t="s">
        <v>78</v>
      </c>
      <c r="I21" s="32" t="s">
        <v>157</v>
      </c>
      <c r="J21" s="33" t="s">
        <v>158</v>
      </c>
    </row>
    <row r="22" spans="2:10" ht="21" customHeight="1">
      <c r="B22" s="51" t="s">
        <v>90</v>
      </c>
      <c r="C22" s="52"/>
      <c r="D22" s="52"/>
      <c r="E22" s="52"/>
      <c r="F22" s="52"/>
      <c r="G22" s="52"/>
      <c r="H22" s="52"/>
      <c r="I22" s="59"/>
      <c r="J22" s="60"/>
    </row>
    <row r="23" spans="2:10" ht="21" customHeight="1">
      <c r="B23" s="307" t="s">
        <v>159</v>
      </c>
      <c r="C23" s="21">
        <v>5.0999999999999996</v>
      </c>
      <c r="D23" s="22" t="s">
        <v>101</v>
      </c>
      <c r="E23" s="12">
        <v>2</v>
      </c>
      <c r="F23" s="12" t="s">
        <v>98</v>
      </c>
      <c r="G23" s="12">
        <v>1</v>
      </c>
      <c r="H23" s="16" t="s">
        <v>80</v>
      </c>
      <c r="I23" s="29" t="s">
        <v>164</v>
      </c>
      <c r="J23" s="29" t="s">
        <v>165</v>
      </c>
    </row>
    <row r="24" spans="2:10" ht="21" customHeight="1">
      <c r="B24" s="308"/>
      <c r="C24" s="17">
        <v>5.2</v>
      </c>
      <c r="D24" s="22" t="s">
        <v>101</v>
      </c>
      <c r="E24" s="12">
        <v>2</v>
      </c>
      <c r="F24" s="12" t="s">
        <v>98</v>
      </c>
      <c r="G24" s="12">
        <v>1</v>
      </c>
      <c r="H24" s="16" t="s">
        <v>78</v>
      </c>
      <c r="I24" s="29" t="s">
        <v>166</v>
      </c>
      <c r="J24" s="29" t="s">
        <v>167</v>
      </c>
    </row>
    <row r="25" spans="2:10" ht="21" customHeight="1">
      <c r="B25" s="308"/>
      <c r="C25" s="17">
        <v>5.3</v>
      </c>
      <c r="D25" s="23" t="s">
        <v>100</v>
      </c>
      <c r="E25" s="24">
        <v>2</v>
      </c>
      <c r="F25" s="24" t="s">
        <v>99</v>
      </c>
      <c r="G25" s="24">
        <v>2</v>
      </c>
      <c r="H25" s="25" t="s">
        <v>78</v>
      </c>
      <c r="I25" s="37" t="s">
        <v>214</v>
      </c>
      <c r="J25" s="37" t="s">
        <v>216</v>
      </c>
    </row>
    <row r="26" spans="2:10" ht="21" customHeight="1">
      <c r="B26" s="308"/>
      <c r="C26" s="17">
        <v>5.4</v>
      </c>
      <c r="D26" s="22" t="s">
        <v>100</v>
      </c>
      <c r="E26" s="12">
        <v>3</v>
      </c>
      <c r="F26" s="12" t="s">
        <v>99</v>
      </c>
      <c r="G26" s="12">
        <v>3</v>
      </c>
      <c r="H26" s="16" t="s">
        <v>78</v>
      </c>
      <c r="I26" s="35" t="s">
        <v>215</v>
      </c>
      <c r="J26" s="35" t="s">
        <v>217</v>
      </c>
    </row>
    <row r="27" spans="2:10" ht="21" customHeight="1">
      <c r="B27" s="308"/>
      <c r="C27" s="17">
        <v>5.5</v>
      </c>
      <c r="D27" s="22" t="s">
        <v>101</v>
      </c>
      <c r="E27" s="12">
        <v>3</v>
      </c>
      <c r="F27" s="12" t="s">
        <v>99</v>
      </c>
      <c r="G27" s="12">
        <v>2</v>
      </c>
      <c r="H27" s="16" t="s">
        <v>80</v>
      </c>
      <c r="I27" s="29" t="s">
        <v>181</v>
      </c>
      <c r="J27" s="29" t="s">
        <v>183</v>
      </c>
    </row>
    <row r="28" spans="2:10" ht="21" customHeight="1">
      <c r="B28" s="309"/>
      <c r="C28" s="17">
        <v>5.6</v>
      </c>
      <c r="D28" s="22" t="s">
        <v>101</v>
      </c>
      <c r="E28" s="12">
        <v>3</v>
      </c>
      <c r="F28" s="12" t="s">
        <v>99</v>
      </c>
      <c r="G28" s="12">
        <v>2</v>
      </c>
      <c r="H28" s="16" t="s">
        <v>78</v>
      </c>
      <c r="I28" s="29" t="s">
        <v>182</v>
      </c>
      <c r="J28" s="29" t="s">
        <v>184</v>
      </c>
    </row>
    <row r="29" spans="2:10" ht="66" customHeight="1">
      <c r="B29" s="14" t="s">
        <v>160</v>
      </c>
      <c r="C29" s="15">
        <f>6</f>
        <v>6</v>
      </c>
      <c r="D29" s="12" t="s">
        <v>101</v>
      </c>
      <c r="E29" s="12">
        <v>3</v>
      </c>
      <c r="F29" s="12" t="s">
        <v>99</v>
      </c>
      <c r="G29" s="12">
        <v>2</v>
      </c>
      <c r="H29" s="16" t="s">
        <v>161</v>
      </c>
      <c r="I29" s="35" t="s">
        <v>49</v>
      </c>
      <c r="J29" s="36" t="s">
        <v>105</v>
      </c>
    </row>
    <row r="30" spans="2:10">
      <c r="I30" s="28"/>
      <c r="J30" s="9"/>
    </row>
    <row r="31" spans="2:10" ht="24.65" customHeight="1">
      <c r="B31" s="204" t="s">
        <v>534</v>
      </c>
      <c r="I31" s="28"/>
      <c r="J31" s="9"/>
    </row>
    <row r="32" spans="2:10" ht="28.25" customHeight="1">
      <c r="B32" s="204" t="s">
        <v>419</v>
      </c>
      <c r="I32" s="28"/>
      <c r="J32" s="9"/>
    </row>
  </sheetData>
  <sheetProtection selectLockedCells="1" selectUnlockedCells="1"/>
  <mergeCells count="15">
    <mergeCell ref="B17:B21"/>
    <mergeCell ref="B23:B28"/>
    <mergeCell ref="C3:C4"/>
    <mergeCell ref="D3:D4"/>
    <mergeCell ref="E3:E4"/>
    <mergeCell ref="B14:B16"/>
    <mergeCell ref="D14:D16"/>
    <mergeCell ref="F14:F16"/>
    <mergeCell ref="G3:G4"/>
    <mergeCell ref="H3:H4"/>
    <mergeCell ref="B1:J1"/>
    <mergeCell ref="F3:F4"/>
    <mergeCell ref="I3:J3"/>
    <mergeCell ref="B8:B12"/>
    <mergeCell ref="D8:D12"/>
  </mergeCells>
  <phoneticPr fontId="9" type="noConversion"/>
  <hyperlinks>
    <hyperlink ref="I7" location="'1.0 IRA'!A1" display="IRA" xr:uid="{00000000-0004-0000-0100-000000000000}"/>
    <hyperlink ref="J7" location="'1.0 N_IRA'!A1" display="N_IRA" xr:uid="{00000000-0004-0000-0100-000001000000}"/>
    <hyperlink ref="I14" location="'3.1 CRA2_2r'!A1" display="CRA2_2r" xr:uid="{00000000-0004-0000-0100-000002000000}"/>
    <hyperlink ref="I15" location="'3.2 CRA3_3r'!A1" display="CRA3_3r" xr:uid="{00000000-0004-0000-0100-000003000000}"/>
    <hyperlink ref="I16" location="'3.3 CRA4_4r'!A1" display="CRA4_4r" xr:uid="{00000000-0004-0000-0100-000004000000}"/>
    <hyperlink ref="I17" location="'4.1 BCRA3_2f'!A1" display="BCRA3_2f" xr:uid="{00000000-0004-0000-0100-000005000000}"/>
    <hyperlink ref="I18" location="'4.2 BCRA3_2r'!A1" display="BCRA3_2r" xr:uid="{00000000-0004-0000-0100-000006000000}"/>
    <hyperlink ref="I19" location="'4.3 BCRA4_2r'!A1" display="BCRA4_2r" xr:uid="{00000000-0004-0000-0100-000007000000}"/>
    <hyperlink ref="I20" location="'4.4 BCRA4_3f'!A1" display="BCRA4_3f" xr:uid="{00000000-0004-0000-0100-000008000000}"/>
    <hyperlink ref="I21" location="'4.5 BCRA4_3r'!A1" display="BCRA4_3r" xr:uid="{00000000-0004-0000-0100-000009000000}"/>
    <hyperlink ref="J14" location="'3.1 N_CRA2_2r'!A1" display="N_CRA2_2r" xr:uid="{00000000-0004-0000-0100-00000A000000}"/>
    <hyperlink ref="J15" location="'3.2 N_CRA3_3r'!A1" display="N_CRA3_3r" xr:uid="{00000000-0004-0000-0100-00000B000000}"/>
    <hyperlink ref="J16" location="'3.3 N_CRA4_4r'!A1" display="N_CRA4_4r" xr:uid="{00000000-0004-0000-0100-00000C000000}"/>
    <hyperlink ref="J17" location="'4.1 N_BCRA3_2f'!A1" display="N_BCRA3_2f" xr:uid="{00000000-0004-0000-0100-00000D000000}"/>
    <hyperlink ref="J18" location="'4.2 N_BCRA3_2r'!A1" display="N_BCRA3_2r" xr:uid="{00000000-0004-0000-0100-00000E000000}"/>
    <hyperlink ref="J19" location="'4.3 N_BCRA4_2r'!A1" display="N_BCRA4_2r" xr:uid="{00000000-0004-0000-0100-00000F000000}"/>
    <hyperlink ref="J20" location="'4.4 N_BCRA4_3f'!A1" display="N_BCRA4_3f" xr:uid="{00000000-0004-0000-0100-000010000000}"/>
    <hyperlink ref="J21" location="'4.5 N_BCRA4_3r'!A1" display="N_BCRA4_3r" xr:uid="{00000000-0004-0000-0100-000011000000}"/>
    <hyperlink ref="I29" location="'6.0 ITS'!A1" display="ITS" xr:uid="{00000000-0004-0000-0100-000012000000}"/>
    <hyperlink ref="J29" location="'6.0 N_ITS'!A1" display="N_ITS" xr:uid="{00000000-0004-0000-0100-000013000000}"/>
    <hyperlink ref="I27" location="'5.5 RD3_2f'!A1" display="RD3_2f" xr:uid="{00000000-0004-0000-0100-000014000000}"/>
    <hyperlink ref="I25" location="'5.3 RDC_2r'!A1" display="RDC_2r" xr:uid="{00000000-0004-0000-0100-000015000000}"/>
    <hyperlink ref="I28" location="'5.6 RD3_2r'!A1" display="RD3_2r" xr:uid="{00000000-0004-0000-0100-000016000000}"/>
    <hyperlink ref="I26" location="'5.4 RDC_3r'!A1" display="RDC_3r" xr:uid="{00000000-0004-0000-0100-000017000000}"/>
    <hyperlink ref="I23" location="'5.1 RD2_1f'!A1" display="RD2_1f" xr:uid="{00000000-0004-0000-0100-000018000000}"/>
    <hyperlink ref="I24" location="'5.2 RD2_1r'!A1" display="RD2_1r" xr:uid="{00000000-0004-0000-0100-000019000000}"/>
    <hyperlink ref="J27" location="'5.5 N_RD3_2f'!A1" display="N_RD3_2f" xr:uid="{00000000-0004-0000-0100-00001A000000}"/>
    <hyperlink ref="J25" location="'5.3 N_RDC_2r'!A1" display="N_RDC_2r" xr:uid="{00000000-0004-0000-0100-00001B000000}"/>
    <hyperlink ref="J28" location="'5.6 N_RD3_2r'!A1" display="N_RD3_2r" xr:uid="{00000000-0004-0000-0100-00001C000000}"/>
    <hyperlink ref="J26" location="'5.4 N_RDC_3r'!A1" display="N_RDC_3r" xr:uid="{00000000-0004-0000-0100-00001D000000}"/>
    <hyperlink ref="J23" location="'5.1 N_RD2_1f'!A1" display="N_RD2_1f" xr:uid="{00000000-0004-0000-0100-00001E000000}"/>
    <hyperlink ref="J24" location="'5.2 N_RD2_1r'!A1" display="N_RD2_1r" xr:uid="{00000000-0004-0000-0100-00001F000000}"/>
    <hyperlink ref="I9" location="'2.2 BIRA2_1f'!A1" display="BIRA2_1f" xr:uid="{00000000-0004-0000-0100-000020000000}"/>
    <hyperlink ref="I10" location="'2.3 BIRA2_1r'!A1" display="BIRA2_1r" xr:uid="{00000000-0004-0000-0100-000021000000}"/>
    <hyperlink ref="I8" location="'2.1 BIRA2_1c'!A1" display="BIRA2_1c" xr:uid="{00000000-0004-0000-0100-000022000000}"/>
    <hyperlink ref="I11" location="'2.4 BIRA3_1r'!A1" display="BIRA3_1r" xr:uid="{00000000-0004-0000-0100-000023000000}"/>
    <hyperlink ref="I12" location="'2.5 BIRA4_1r'!A1" display="BIRA4_1r" xr:uid="{00000000-0004-0000-0100-000024000000}"/>
    <hyperlink ref="J8" location="'2.1 N_BRIA2_1c'!A1" display="N_BIRA2_1c" xr:uid="{00000000-0004-0000-0100-000025000000}"/>
    <hyperlink ref="J9" location="'2.2 N_BIRA2_1f'!A1" display="N_BIRA2_1f" xr:uid="{00000000-0004-0000-0100-000026000000}"/>
    <hyperlink ref="J10" location="'2.3 N_BIRA2_1r'!A1" display="N_BIRA2_1r" xr:uid="{00000000-0004-0000-0100-000027000000}"/>
    <hyperlink ref="J11" location="'2.4 N_BIRA3_1r'!A1" display="N_BIRA3_1r" xr:uid="{00000000-0004-0000-0100-000028000000}"/>
    <hyperlink ref="J12" location="'2.5 N_BIRA4_1r'!A1" display="N_BIRA4_1r" xr:uid="{00000000-0004-0000-0100-000029000000}"/>
    <hyperlink ref="B32" location="Notes!A1" display="Update Notes" xr:uid="{00000000-0004-0000-0100-00002A000000}"/>
    <hyperlink ref="B31" location="References" display="References and Resources" xr:uid="{00000000-0004-0000-0100-00002B000000}"/>
  </hyperlinks>
  <printOptions horizontalCentered="1"/>
  <pageMargins left="1" right="1" top="1" bottom="1" header="0.27" footer="0.3"/>
  <pageSetup scale="59" orientation="portrait" horizontalDpi="4294967293" r:id="rId1"/>
  <headerFooter>
    <oddFooter>&amp;R&amp;"Times New Roman,Regular"&amp;11Send comments &amp; suggestions to: Nianbo.Dong@Vanderbilt.Edu</oddFooter>
  </headerFooter>
  <ignoredErrors>
    <ignoredError sqref="I2"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theme="4" tint="-0.499984740745262"/>
    <pageSetUpPr fitToPage="1"/>
  </sheetPr>
  <dimension ref="B1:E15"/>
  <sheetViews>
    <sheetView showGridLines="0" showWhiteSpace="0" zoomScale="76" zoomScaleNormal="76" workbookViewId="0">
      <selection activeCell="C13" sqref="C13"/>
    </sheetView>
  </sheetViews>
  <sheetFormatPr defaultColWidth="9.08984375" defaultRowHeight="18"/>
  <cols>
    <col min="1" max="1" width="2.08984375" style="39" customWidth="1"/>
    <col min="2" max="2" width="41.90625" style="39" customWidth="1"/>
    <col min="3" max="3" width="12.54296875" style="61" customWidth="1"/>
    <col min="4" max="4" width="91.54296875" style="39" customWidth="1"/>
    <col min="5" max="5" width="2" style="62" customWidth="1"/>
    <col min="6" max="9" width="16.6328125" style="39" customWidth="1"/>
    <col min="10" max="16384" width="9.08984375" style="39"/>
  </cols>
  <sheetData>
    <row r="1" spans="2:5" ht="33.75" customHeight="1">
      <c r="B1" s="313" t="s">
        <v>341</v>
      </c>
      <c r="C1" s="314"/>
      <c r="D1" s="315"/>
    </row>
    <row r="2" spans="2:5" s="10" customFormat="1" ht="27.65" customHeight="1">
      <c r="B2" s="131" t="s">
        <v>0</v>
      </c>
      <c r="C2" s="132"/>
      <c r="D2" s="162" t="s">
        <v>1</v>
      </c>
      <c r="E2" s="63"/>
    </row>
    <row r="3" spans="2:5" s="10" customFormat="1" ht="27.65" customHeight="1">
      <c r="B3" s="141" t="s">
        <v>111</v>
      </c>
      <c r="C3" s="133">
        <v>0.05</v>
      </c>
      <c r="D3" s="158" t="s">
        <v>411</v>
      </c>
      <c r="E3" s="63"/>
    </row>
    <row r="4" spans="2:5" s="10" customFormat="1" ht="27.65" customHeight="1">
      <c r="B4" s="141" t="s">
        <v>36</v>
      </c>
      <c r="C4" s="133">
        <v>2</v>
      </c>
      <c r="D4" s="158"/>
      <c r="E4" s="63"/>
    </row>
    <row r="5" spans="2:5" s="10" customFormat="1" ht="27.65" customHeight="1">
      <c r="B5" s="141" t="s">
        <v>93</v>
      </c>
      <c r="C5" s="134">
        <v>0.8</v>
      </c>
      <c r="D5" s="158" t="s">
        <v>91</v>
      </c>
      <c r="E5" s="63"/>
    </row>
    <row r="6" spans="2:5" s="10" customFormat="1" ht="27.65" customHeight="1">
      <c r="B6" s="141" t="s">
        <v>218</v>
      </c>
      <c r="C6" s="135">
        <v>0.5</v>
      </c>
      <c r="D6" s="159" t="s">
        <v>267</v>
      </c>
      <c r="E6" s="63"/>
    </row>
    <row r="7" spans="2:5" s="10" customFormat="1" ht="27.65" customHeight="1">
      <c r="B7" s="142" t="s">
        <v>64</v>
      </c>
      <c r="C7" s="135">
        <v>0.6</v>
      </c>
      <c r="D7" s="158" t="s">
        <v>435</v>
      </c>
      <c r="E7" s="63"/>
    </row>
    <row r="8" spans="2:5" s="10" customFormat="1" ht="27.65" customHeight="1">
      <c r="B8" s="142" t="s">
        <v>219</v>
      </c>
      <c r="C8" s="136">
        <v>1</v>
      </c>
      <c r="D8" s="158" t="s">
        <v>222</v>
      </c>
      <c r="E8" s="63"/>
    </row>
    <row r="9" spans="2:5" s="10" customFormat="1" ht="27.65" customHeight="1">
      <c r="B9" s="141" t="s">
        <v>220</v>
      </c>
      <c r="C9" s="137">
        <v>240</v>
      </c>
      <c r="D9" s="160"/>
      <c r="E9" s="63"/>
    </row>
    <row r="10" spans="2:5" s="10" customFormat="1" ht="27.65" customHeight="1">
      <c r="B10" s="141" t="s">
        <v>88</v>
      </c>
      <c r="C10" s="138">
        <f>IF(C5&gt;=0.5,(C11+C12),(C11-C12))</f>
        <v>2.813164502279597</v>
      </c>
      <c r="D10" s="161" t="s">
        <v>24</v>
      </c>
      <c r="E10" s="63"/>
    </row>
    <row r="11" spans="2:5" s="10" customFormat="1" ht="27.65" customHeight="1">
      <c r="B11" s="141" t="s">
        <v>229</v>
      </c>
      <c r="C11" s="138">
        <f>IF(C4=2,TINV(C3,C9-C8-2),TINV(C3*2,C9-C8-2))</f>
        <v>1.970024010403552</v>
      </c>
      <c r="D11" s="161" t="s">
        <v>223</v>
      </c>
      <c r="E11" s="63"/>
    </row>
    <row r="12" spans="2:5" s="10" customFormat="1" ht="27.65" customHeight="1">
      <c r="B12" s="141" t="s">
        <v>230</v>
      </c>
      <c r="C12" s="138">
        <f>IF(C5&gt;=0.5,TINV((1-C5)*2,C9-C8-2),TINV(C5*2,C9-C8-2))</f>
        <v>0.84314049187604501</v>
      </c>
      <c r="D12" s="161" t="s">
        <v>224</v>
      </c>
      <c r="E12" s="63"/>
    </row>
    <row r="13" spans="2:5" s="10" customFormat="1" ht="27.65" customHeight="1" thickBot="1">
      <c r="B13" s="139" t="s">
        <v>92</v>
      </c>
      <c r="C13" s="140">
        <f>$C$10*SQRT((1-$C$7)/($C$6*(1-$C$6)*$C$9))</f>
        <v>0.22969391976985393</v>
      </c>
      <c r="D13" s="163" t="s">
        <v>221</v>
      </c>
      <c r="E13" s="63"/>
    </row>
    <row r="15" spans="2:5" s="10" customFormat="1">
      <c r="B15" s="316" t="s">
        <v>71</v>
      </c>
      <c r="C15" s="316"/>
      <c r="D15" s="316"/>
      <c r="E15" s="63"/>
    </row>
  </sheetData>
  <mergeCells count="2">
    <mergeCell ref="B1:D1"/>
    <mergeCell ref="B15:D15"/>
  </mergeCells>
  <phoneticPr fontId="0" type="noConversion"/>
  <printOptions horizontalCentered="1"/>
  <pageMargins left="1" right="1" top="1" bottom="1" header="0.5" footer="0.5"/>
  <pageSetup scale="54" orientation="portrait" horizontalDpi="4294967293" r:id="rId1"/>
  <headerFooter>
    <oddFooter>&amp;L&amp;F&amp;A&amp;RPrinted:  &amp;D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9" tint="-0.249977111117893"/>
    <pageSetUpPr fitToPage="1"/>
  </sheetPr>
  <dimension ref="B1:E16"/>
  <sheetViews>
    <sheetView showGridLines="0" tabSelected="1" zoomScale="80" zoomScaleNormal="80" workbookViewId="0">
      <selection activeCell="J13" sqref="J13"/>
    </sheetView>
  </sheetViews>
  <sheetFormatPr defaultColWidth="9.08984375" defaultRowHeight="18"/>
  <cols>
    <col min="1" max="1" width="2.453125" style="39" customWidth="1"/>
    <col min="2" max="2" width="36.36328125" style="39" customWidth="1"/>
    <col min="3" max="3" width="11.6328125" style="61" customWidth="1"/>
    <col min="4" max="4" width="93.1796875" style="39" customWidth="1"/>
    <col min="5" max="5" width="2.90625" style="62" customWidth="1"/>
    <col min="6" max="16384" width="9.08984375" style="39"/>
  </cols>
  <sheetData>
    <row r="1" spans="2:5" s="10" customFormat="1" ht="48.65" customHeight="1">
      <c r="B1" s="318" t="s">
        <v>402</v>
      </c>
      <c r="C1" s="319"/>
      <c r="D1" s="320"/>
      <c r="E1" s="63"/>
    </row>
    <row r="2" spans="2:5" s="10" customFormat="1" ht="25.25" customHeight="1">
      <c r="B2" s="150" t="s">
        <v>0</v>
      </c>
      <c r="C2" s="151"/>
      <c r="D2" s="169" t="s">
        <v>1</v>
      </c>
      <c r="E2" s="63"/>
    </row>
    <row r="3" spans="2:5" s="10" customFormat="1" ht="25.25" customHeight="1">
      <c r="B3" s="141" t="s">
        <v>111</v>
      </c>
      <c r="C3" s="97">
        <v>0.05</v>
      </c>
      <c r="D3" s="158" t="s">
        <v>411</v>
      </c>
      <c r="E3" s="63"/>
    </row>
    <row r="4" spans="2:5" s="10" customFormat="1" ht="25.25" customHeight="1">
      <c r="B4" s="152" t="s">
        <v>36</v>
      </c>
      <c r="C4" s="97">
        <v>2</v>
      </c>
      <c r="D4" s="158"/>
      <c r="E4" s="63"/>
    </row>
    <row r="5" spans="2:5" s="10" customFormat="1" ht="25.25" customHeight="1">
      <c r="B5" s="152" t="s">
        <v>94</v>
      </c>
      <c r="C5" s="98">
        <v>0.8</v>
      </c>
      <c r="D5" s="158" t="s">
        <v>91</v>
      </c>
      <c r="E5" s="63"/>
    </row>
    <row r="6" spans="2:5" s="10" customFormat="1" ht="25.25" customHeight="1">
      <c r="B6" s="152" t="s">
        <v>9</v>
      </c>
      <c r="C6" s="144">
        <v>0.5</v>
      </c>
      <c r="D6" s="129" t="s">
        <v>225</v>
      </c>
      <c r="E6" s="63"/>
    </row>
    <row r="7" spans="2:5" s="10" customFormat="1" ht="25.25" customHeight="1">
      <c r="B7" s="149" t="s">
        <v>2</v>
      </c>
      <c r="C7" s="144">
        <v>0</v>
      </c>
      <c r="D7" s="127" t="s">
        <v>436</v>
      </c>
      <c r="E7" s="63"/>
    </row>
    <row r="8" spans="2:5" s="10" customFormat="1" ht="25.25" customHeight="1">
      <c r="B8" s="149" t="s">
        <v>5</v>
      </c>
      <c r="C8" s="153">
        <v>0</v>
      </c>
      <c r="D8" s="165" t="s">
        <v>262</v>
      </c>
      <c r="E8" s="63"/>
    </row>
    <row r="9" spans="2:5" s="10" customFormat="1" ht="25.25" customHeight="1">
      <c r="B9" s="152" t="s">
        <v>58</v>
      </c>
      <c r="C9" s="154">
        <v>55</v>
      </c>
      <c r="D9" s="166" t="s">
        <v>37</v>
      </c>
      <c r="E9" s="63"/>
    </row>
    <row r="10" spans="2:5" s="10" customFormat="1" ht="25.25" customHeight="1">
      <c r="B10" s="155" t="s">
        <v>59</v>
      </c>
      <c r="C10" s="154">
        <v>14</v>
      </c>
      <c r="D10" s="165" t="s">
        <v>235</v>
      </c>
      <c r="E10" s="63"/>
    </row>
    <row r="11" spans="2:5" s="10" customFormat="1" ht="25.25" customHeight="1">
      <c r="B11" s="152" t="s">
        <v>3</v>
      </c>
      <c r="C11" s="78">
        <f>IF(C5&gt;=0.5,(C12+C13),(C12-C13))</f>
        <v>2.8052085964464073</v>
      </c>
      <c r="D11" s="161" t="s">
        <v>24</v>
      </c>
      <c r="E11" s="63"/>
    </row>
    <row r="12" spans="2:5" s="10" customFormat="1" ht="25.25" customHeight="1">
      <c r="B12" s="141" t="s">
        <v>229</v>
      </c>
      <c r="C12" s="78">
        <f>IF(C4=2,TINV(C3,C9*C10-C10-C8-1),TINV(C3*2,C9*C10-C10-C8-1))</f>
        <v>1.9631110231182065</v>
      </c>
      <c r="D12" s="161" t="s">
        <v>223</v>
      </c>
      <c r="E12" s="63"/>
    </row>
    <row r="13" spans="2:5" s="10" customFormat="1" ht="25.25" customHeight="1">
      <c r="B13" s="141" t="s">
        <v>230</v>
      </c>
      <c r="C13" s="78">
        <f>IF(C5&gt;=0.5,TINV((1-C5)*2,C9*C10-C10-C8-1),TINV(C5*2,C9*C10-C10-C8-1))</f>
        <v>0.8420975733282009</v>
      </c>
      <c r="D13" s="161" t="s">
        <v>224</v>
      </c>
      <c r="E13" s="63"/>
    </row>
    <row r="14" spans="2:5" s="10" customFormat="1" ht="25.25" customHeight="1" thickBot="1">
      <c r="B14" s="156" t="s">
        <v>6</v>
      </c>
      <c r="C14" s="157">
        <f>$C$11*SQRT((1-$C$7)/($C$6*(1-$C$6)*$C$9*C10))</f>
        <v>0.20218540121713574</v>
      </c>
      <c r="D14" s="168" t="s">
        <v>7</v>
      </c>
      <c r="E14" s="63"/>
    </row>
    <row r="16" spans="2:5" s="64" customFormat="1" ht="21.75" customHeight="1">
      <c r="B16" s="317" t="s">
        <v>32</v>
      </c>
      <c r="C16" s="317"/>
      <c r="D16" s="317"/>
      <c r="E16" s="62"/>
    </row>
  </sheetData>
  <protectedRanges>
    <protectedRange password="CF7A" sqref="C11" name="Forbidden revising"/>
  </protectedRanges>
  <mergeCells count="2">
    <mergeCell ref="B16:D16"/>
    <mergeCell ref="B1:D1"/>
  </mergeCells>
  <phoneticPr fontId="15" type="noConversion"/>
  <printOptions horizontalCentered="1"/>
  <pageMargins left="1" right="1" top="1" bottom="1" header="0.5" footer="0.5"/>
  <pageSetup scale="59" fitToHeight="6" orientation="portrait" horizontalDpi="4294967293" r:id="rId1"/>
  <headerFooter>
    <oddFooter>&amp;L&amp;F&amp;A&amp;RPrinted:  &amp;D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theme="9" tint="-0.249977111117893"/>
    <pageSetUpPr fitToPage="1"/>
  </sheetPr>
  <dimension ref="B1:D16"/>
  <sheetViews>
    <sheetView showGridLines="0" zoomScale="80" zoomScaleNormal="80" workbookViewId="0">
      <selection activeCell="B21" sqref="B21"/>
    </sheetView>
  </sheetViews>
  <sheetFormatPr defaultColWidth="9.08984375" defaultRowHeight="13"/>
  <cols>
    <col min="1" max="1" width="2.36328125" style="3" customWidth="1"/>
    <col min="2" max="2" width="37.90625" style="3" customWidth="1"/>
    <col min="3" max="3" width="11.6328125" style="5" customWidth="1"/>
    <col min="4" max="4" width="91.453125" style="3" customWidth="1"/>
    <col min="5" max="16384" width="9.08984375" style="3"/>
  </cols>
  <sheetData>
    <row r="1" spans="2:4" s="6" customFormat="1" ht="53.25" customHeight="1">
      <c r="B1" s="321" t="s">
        <v>403</v>
      </c>
      <c r="C1" s="322"/>
      <c r="D1" s="323"/>
    </row>
    <row r="2" spans="2:4" s="6" customFormat="1" ht="24.65" customHeight="1">
      <c r="B2" s="172" t="s">
        <v>0</v>
      </c>
      <c r="C2" s="173"/>
      <c r="D2" s="174" t="s">
        <v>1</v>
      </c>
    </row>
    <row r="3" spans="2:4" s="6" customFormat="1" ht="24.65" customHeight="1">
      <c r="B3" s="141" t="s">
        <v>111</v>
      </c>
      <c r="C3" s="97">
        <v>0.05</v>
      </c>
      <c r="D3" s="158" t="s">
        <v>411</v>
      </c>
    </row>
    <row r="4" spans="2:4" s="6" customFormat="1" ht="24.65" customHeight="1">
      <c r="B4" s="152" t="s">
        <v>36</v>
      </c>
      <c r="C4" s="97">
        <v>2</v>
      </c>
      <c r="D4" s="158"/>
    </row>
    <row r="5" spans="2:4" s="6" customFormat="1" ht="24.65" customHeight="1">
      <c r="B5" s="152" t="s">
        <v>94</v>
      </c>
      <c r="C5" s="98">
        <v>0.8</v>
      </c>
      <c r="D5" s="158" t="s">
        <v>91</v>
      </c>
    </row>
    <row r="6" spans="2:4" s="6" customFormat="1" ht="24.65" customHeight="1">
      <c r="B6" s="152" t="s">
        <v>12</v>
      </c>
      <c r="C6" s="144">
        <v>0.5</v>
      </c>
      <c r="D6" s="129" t="s">
        <v>225</v>
      </c>
    </row>
    <row r="7" spans="2:4" s="6" customFormat="1" ht="24.65" customHeight="1">
      <c r="B7" s="149" t="s">
        <v>2</v>
      </c>
      <c r="C7" s="144">
        <v>0.5</v>
      </c>
      <c r="D7" s="127" t="s">
        <v>436</v>
      </c>
    </row>
    <row r="8" spans="2:4" s="6" customFormat="1" ht="24.65" customHeight="1">
      <c r="B8" s="149" t="s">
        <v>5</v>
      </c>
      <c r="C8" s="153">
        <v>1</v>
      </c>
      <c r="D8" s="165" t="s">
        <v>228</v>
      </c>
    </row>
    <row r="9" spans="2:4" s="6" customFormat="1" ht="24.65" customHeight="1">
      <c r="B9" s="152" t="s">
        <v>58</v>
      </c>
      <c r="C9" s="154">
        <v>55</v>
      </c>
      <c r="D9" s="166" t="s">
        <v>37</v>
      </c>
    </row>
    <row r="10" spans="2:4" s="6" customFormat="1" ht="24.65" customHeight="1">
      <c r="B10" s="155" t="s">
        <v>59</v>
      </c>
      <c r="C10" s="154">
        <v>3</v>
      </c>
      <c r="D10" s="165" t="s">
        <v>235</v>
      </c>
    </row>
    <row r="11" spans="2:4" s="6" customFormat="1" ht="24.65" customHeight="1">
      <c r="B11" s="152" t="s">
        <v>11</v>
      </c>
      <c r="C11" s="78">
        <f>IF(C5&gt;=0.5,(C12+C13),(C12-C13))</f>
        <v>2.8189941675995969</v>
      </c>
      <c r="D11" s="161" t="s">
        <v>24</v>
      </c>
    </row>
    <row r="12" spans="2:4" s="6" customFormat="1" ht="24.65" customHeight="1">
      <c r="B12" s="141" t="s">
        <v>229</v>
      </c>
      <c r="C12" s="78">
        <f>IF(C4=2,TINV(C3,C9*C10-2*C10-C8),TINV(C3*2,C9*C10-2*C10-C8))</f>
        <v>1.9750920727120791</v>
      </c>
      <c r="D12" s="161" t="s">
        <v>223</v>
      </c>
    </row>
    <row r="13" spans="2:4" s="6" customFormat="1" ht="24.65" customHeight="1">
      <c r="B13" s="141" t="s">
        <v>230</v>
      </c>
      <c r="C13" s="78">
        <f>IF(C5&gt;=0.5,TINV((1-C5)*2,C9*C10-2*C10-C8),TINV(C5*2,C9*C10-2*C10-C8))</f>
        <v>0.84390209488751766</v>
      </c>
      <c r="D13" s="161" t="s">
        <v>224</v>
      </c>
    </row>
    <row r="14" spans="2:4" s="175" customFormat="1" ht="24.65" customHeight="1" thickBot="1">
      <c r="B14" s="156" t="s">
        <v>13</v>
      </c>
      <c r="C14" s="157">
        <f>$C$11*SQRT((1-$C$7)/($C$6*(1-$C$6)*$C$9*C10))</f>
        <v>0.31036104326297026</v>
      </c>
      <c r="D14" s="168" t="s">
        <v>14</v>
      </c>
    </row>
    <row r="15" spans="2:4" ht="18">
      <c r="B15" s="39"/>
      <c r="C15" s="61"/>
      <c r="D15" s="39"/>
    </row>
    <row r="16" spans="2:4" ht="18">
      <c r="B16" s="317" t="s">
        <v>32</v>
      </c>
      <c r="C16" s="317"/>
      <c r="D16" s="317"/>
    </row>
  </sheetData>
  <protectedRanges>
    <protectedRange password="CF7A" sqref="C11" name="Forbidden revising"/>
  </protectedRanges>
  <mergeCells count="2">
    <mergeCell ref="B16:D16"/>
    <mergeCell ref="B1:D1"/>
  </mergeCells>
  <phoneticPr fontId="0" type="noConversion"/>
  <printOptions horizontalCentered="1"/>
  <pageMargins left="1" right="1" top="1" bottom="1" header="0.5" footer="0.5"/>
  <pageSetup scale="59" fitToHeight="6" orientation="portrait" horizontalDpi="4294967293" r:id="rId1"/>
  <headerFooter>
    <oddFooter>&amp;L&amp;F&amp;A&amp;RPrinted:  &amp;D</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theme="9" tint="-0.249977111117893"/>
    <pageSetUpPr fitToPage="1"/>
  </sheetPr>
  <dimension ref="B1:D22"/>
  <sheetViews>
    <sheetView showGridLines="0" zoomScale="80" zoomScaleNormal="80" workbookViewId="0">
      <selection activeCell="H23" sqref="H23"/>
    </sheetView>
  </sheetViews>
  <sheetFormatPr defaultColWidth="9.08984375" defaultRowHeight="13"/>
  <cols>
    <col min="1" max="1" width="3" style="3" customWidth="1"/>
    <col min="2" max="2" width="37" style="3" customWidth="1"/>
    <col min="3" max="3" width="11.6328125" style="5" customWidth="1"/>
    <col min="4" max="4" width="95.36328125" style="3" customWidth="1"/>
    <col min="5" max="16384" width="9.08984375" style="3"/>
  </cols>
  <sheetData>
    <row r="1" spans="2:4" s="1" customFormat="1" ht="49.75" customHeight="1">
      <c r="B1" s="324" t="s">
        <v>404</v>
      </c>
      <c r="C1" s="325"/>
      <c r="D1" s="326"/>
    </row>
    <row r="2" spans="2:4" s="8" customFormat="1" ht="25.25" customHeight="1">
      <c r="B2" s="172" t="s">
        <v>0</v>
      </c>
      <c r="C2" s="176"/>
      <c r="D2" s="177" t="s">
        <v>1</v>
      </c>
    </row>
    <row r="3" spans="2:4" s="8" customFormat="1" ht="25.25" customHeight="1">
      <c r="B3" s="141" t="s">
        <v>111</v>
      </c>
      <c r="C3" s="97">
        <v>0.05</v>
      </c>
      <c r="D3" s="158" t="s">
        <v>411</v>
      </c>
    </row>
    <row r="4" spans="2:4" s="8" customFormat="1" ht="25.25" customHeight="1">
      <c r="B4" s="152" t="s">
        <v>36</v>
      </c>
      <c r="C4" s="97">
        <v>2</v>
      </c>
      <c r="D4" s="158"/>
    </row>
    <row r="5" spans="2:4" s="8" customFormat="1" ht="25.25" customHeight="1">
      <c r="B5" s="152" t="s">
        <v>94</v>
      </c>
      <c r="C5" s="98">
        <v>0.8</v>
      </c>
      <c r="D5" s="158" t="s">
        <v>91</v>
      </c>
    </row>
    <row r="6" spans="2:4" s="8" customFormat="1" ht="25.25" customHeight="1">
      <c r="B6" s="155" t="s">
        <v>4</v>
      </c>
      <c r="C6" s="144">
        <v>0.35</v>
      </c>
      <c r="D6" s="127" t="s">
        <v>437</v>
      </c>
    </row>
    <row r="7" spans="2:4" s="8" customFormat="1" ht="38.25" customHeight="1">
      <c r="B7" s="155"/>
      <c r="C7" s="144">
        <v>0.1</v>
      </c>
      <c r="D7" s="127" t="s">
        <v>227</v>
      </c>
    </row>
    <row r="8" spans="2:4" s="8" customFormat="1" ht="25.25" customHeight="1">
      <c r="B8" s="152" t="s">
        <v>10</v>
      </c>
      <c r="C8" s="144">
        <v>0.5</v>
      </c>
      <c r="D8" s="129" t="s">
        <v>225</v>
      </c>
    </row>
    <row r="9" spans="2:4" s="8" customFormat="1" ht="25.25" customHeight="1">
      <c r="B9" s="149" t="s">
        <v>2</v>
      </c>
      <c r="C9" s="144">
        <v>0</v>
      </c>
      <c r="D9" s="127" t="s">
        <v>438</v>
      </c>
    </row>
    <row r="10" spans="2:4" s="8" customFormat="1" ht="25.25" customHeight="1">
      <c r="B10" s="149" t="s">
        <v>115</v>
      </c>
      <c r="C10" s="144">
        <v>0</v>
      </c>
      <c r="D10" s="127" t="s">
        <v>439</v>
      </c>
    </row>
    <row r="11" spans="2:4" s="8" customFormat="1" ht="25.25" customHeight="1">
      <c r="B11" s="149" t="s">
        <v>5</v>
      </c>
      <c r="C11" s="153">
        <v>0</v>
      </c>
      <c r="D11" s="165" t="s">
        <v>234</v>
      </c>
    </row>
    <row r="12" spans="2:4" s="6" customFormat="1" ht="25.25" customHeight="1">
      <c r="B12" s="152" t="s">
        <v>58</v>
      </c>
      <c r="C12" s="154">
        <v>80</v>
      </c>
      <c r="D12" s="166" t="s">
        <v>37</v>
      </c>
    </row>
    <row r="13" spans="2:4" s="8" customFormat="1" ht="25.25" customHeight="1">
      <c r="B13" s="155" t="s">
        <v>59</v>
      </c>
      <c r="C13" s="154">
        <v>480</v>
      </c>
      <c r="D13" s="165" t="s">
        <v>226</v>
      </c>
    </row>
    <row r="14" spans="2:4" s="8" customFormat="1" ht="25.25" customHeight="1">
      <c r="B14" s="152" t="s">
        <v>3</v>
      </c>
      <c r="C14" s="78">
        <f>IF(C5&gt;=0.5,(C15+C16),(C15-C16))</f>
        <v>2.8073011348319259</v>
      </c>
      <c r="D14" s="161" t="s">
        <v>24</v>
      </c>
    </row>
    <row r="15" spans="2:4" s="8" customFormat="1" ht="25.25" customHeight="1">
      <c r="B15" s="141" t="s">
        <v>229</v>
      </c>
      <c r="C15" s="78">
        <f>IF(C4=2,TINV(C3,C13-C11-1),TINV(C3*2,C13-C11-1))</f>
        <v>1.9649288589987035</v>
      </c>
      <c r="D15" s="161" t="s">
        <v>223</v>
      </c>
    </row>
    <row r="16" spans="2:4" s="8" customFormat="1" ht="25.25" customHeight="1">
      <c r="B16" s="141" t="s">
        <v>230</v>
      </c>
      <c r="C16" s="78">
        <f>IF(C5&gt;=0.5,TINV((1-C5)*2,C13-C11-1),TINV(C5*2,C13-C11-1))</f>
        <v>0.84237227583322238</v>
      </c>
      <c r="D16" s="161" t="s">
        <v>224</v>
      </c>
    </row>
    <row r="17" spans="2:4" s="175" customFormat="1" ht="25.25" customHeight="1" thickBot="1">
      <c r="B17" s="156" t="s">
        <v>6</v>
      </c>
      <c r="C17" s="157">
        <f>C$14*SQRT(C$6*C7*(1-C$10)/(C$13)+(1-C$6)*(1-C$9)/(C$8*(1-C$8)*C$13*C$12))</f>
        <v>3.3290496240166265E-2</v>
      </c>
      <c r="D17" s="168" t="s">
        <v>7</v>
      </c>
    </row>
    <row r="18" spans="2:4" ht="18">
      <c r="B18" s="39"/>
      <c r="C18" s="61"/>
      <c r="D18" s="39"/>
    </row>
    <row r="19" spans="2:4" ht="18">
      <c r="B19" s="38" t="s">
        <v>32</v>
      </c>
      <c r="C19" s="65"/>
      <c r="D19" s="38"/>
    </row>
    <row r="20" spans="2:4" ht="18">
      <c r="B20" s="39"/>
      <c r="C20" s="61"/>
      <c r="D20" s="39"/>
    </row>
    <row r="21" spans="2:4" ht="18">
      <c r="B21" s="39"/>
      <c r="C21" s="61"/>
      <c r="D21" s="39"/>
    </row>
    <row r="22" spans="2:4" ht="18">
      <c r="B22" s="39"/>
      <c r="C22" s="61"/>
      <c r="D22" s="39"/>
    </row>
  </sheetData>
  <protectedRanges>
    <protectedRange password="CF7A" sqref="C14:C17" name="Forbidden revising"/>
  </protectedRanges>
  <mergeCells count="1">
    <mergeCell ref="B1:D1"/>
  </mergeCells>
  <phoneticPr fontId="15" type="noConversion"/>
  <printOptions horizontalCentered="1"/>
  <pageMargins left="1" right="1" top="1" bottom="1" header="0.5" footer="0.5"/>
  <pageSetup scale="54" fitToHeight="6" orientation="portrait" horizontalDpi="4294967293" r:id="rId1"/>
  <headerFooter>
    <oddFooter>&amp;L&amp;F&amp;A&amp;RPrinted:  &amp;D</oddFooter>
  </headerFooter>
  <drawing r:id="rId2"/>
  <legacyDrawing r:id="rId3"/>
  <oleObjects>
    <mc:AlternateContent xmlns:mc="http://schemas.openxmlformats.org/markup-compatibility/2006">
      <mc:Choice Requires="x14">
        <oleObject progId="Equation.3" shapeId="8196" r:id="rId4">
          <objectPr defaultSize="0" autoPict="0" r:id="rId5">
            <anchor moveWithCells="1" sizeWithCells="1">
              <from>
                <xdr:col>1</xdr:col>
                <xdr:colOff>82550</xdr:colOff>
                <xdr:row>6</xdr:row>
                <xdr:rowOff>107950</xdr:rowOff>
              </from>
              <to>
                <xdr:col>1</xdr:col>
                <xdr:colOff>482600</xdr:colOff>
                <xdr:row>6</xdr:row>
                <xdr:rowOff>304800</xdr:rowOff>
              </to>
            </anchor>
          </objectPr>
        </oleObject>
      </mc:Choice>
      <mc:Fallback>
        <oleObject progId="Equation.3" shapeId="8196" r:id="rId4"/>
      </mc:Fallback>
    </mc:AlternateContent>
    <mc:AlternateContent xmlns:mc="http://schemas.openxmlformats.org/markup-compatibility/2006">
      <mc:Choice Requires="x14">
        <oleObject progId="Equation.3" shapeId="8198" r:id="rId6">
          <objectPr defaultSize="0" autoPict="0" r:id="rId7">
            <anchor moveWithCells="1" sizeWithCells="1">
              <from>
                <xdr:col>3</xdr:col>
                <xdr:colOff>1219200</xdr:colOff>
                <xdr:row>3</xdr:row>
                <xdr:rowOff>114300</xdr:rowOff>
              </from>
              <to>
                <xdr:col>3</xdr:col>
                <xdr:colOff>1219200</xdr:colOff>
                <xdr:row>4</xdr:row>
                <xdr:rowOff>44450</xdr:rowOff>
              </to>
            </anchor>
          </objectPr>
        </oleObject>
      </mc:Choice>
      <mc:Fallback>
        <oleObject progId="Equation.3" shapeId="8198" r:id="rId6"/>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9" tint="-0.249977111117893"/>
    <pageSetUpPr fitToPage="1"/>
  </sheetPr>
  <dimension ref="B1:D23"/>
  <sheetViews>
    <sheetView showGridLines="0" zoomScale="80" zoomScaleNormal="80" workbookViewId="0">
      <selection activeCell="I23" sqref="I23"/>
    </sheetView>
  </sheetViews>
  <sheetFormatPr defaultColWidth="9.08984375" defaultRowHeight="13"/>
  <cols>
    <col min="1" max="1" width="3" style="3" customWidth="1"/>
    <col min="2" max="2" width="41.90625" style="3" customWidth="1"/>
    <col min="3" max="3" width="11.6328125" style="5" customWidth="1"/>
    <col min="4" max="4" width="94.36328125" style="3" customWidth="1"/>
    <col min="5" max="16384" width="9.08984375" style="3"/>
  </cols>
  <sheetData>
    <row r="1" spans="2:4" s="8" customFormat="1" ht="44.4" customHeight="1">
      <c r="B1" s="324" t="s">
        <v>342</v>
      </c>
      <c r="C1" s="325"/>
      <c r="D1" s="326"/>
    </row>
    <row r="2" spans="2:4" s="8" customFormat="1" ht="24" customHeight="1">
      <c r="B2" s="180" t="s">
        <v>0</v>
      </c>
      <c r="C2" s="178"/>
      <c r="D2" s="181" t="s">
        <v>1</v>
      </c>
    </row>
    <row r="3" spans="2:4" s="8" customFormat="1" ht="24" customHeight="1">
      <c r="B3" s="112" t="s">
        <v>111</v>
      </c>
      <c r="C3" s="97">
        <v>0.05</v>
      </c>
      <c r="D3" s="158" t="s">
        <v>411</v>
      </c>
    </row>
    <row r="4" spans="2:4" s="8" customFormat="1" ht="24" customHeight="1">
      <c r="B4" s="113" t="s">
        <v>36</v>
      </c>
      <c r="C4" s="97">
        <v>2</v>
      </c>
      <c r="D4" s="161"/>
    </row>
    <row r="5" spans="2:4" s="8" customFormat="1" ht="24" customHeight="1">
      <c r="B5" s="113" t="s">
        <v>94</v>
      </c>
      <c r="C5" s="98">
        <v>0.8</v>
      </c>
      <c r="D5" s="161" t="s">
        <v>91</v>
      </c>
    </row>
    <row r="6" spans="2:4" s="8" customFormat="1" ht="24" customHeight="1">
      <c r="B6" s="114" t="s">
        <v>18</v>
      </c>
      <c r="C6" s="144">
        <v>0.2</v>
      </c>
      <c r="D6" s="127" t="s">
        <v>442</v>
      </c>
    </row>
    <row r="7" spans="2:4" s="8" customFormat="1" ht="24" customHeight="1">
      <c r="B7" s="114" t="s">
        <v>50</v>
      </c>
      <c r="C7" s="144">
        <v>0.15</v>
      </c>
      <c r="D7" s="127" t="s">
        <v>443</v>
      </c>
    </row>
    <row r="8" spans="2:4" s="8" customFormat="1" ht="36.75" customHeight="1">
      <c r="B8" s="114"/>
      <c r="C8" s="144">
        <v>0.1</v>
      </c>
      <c r="D8" s="127" t="s">
        <v>238</v>
      </c>
    </row>
    <row r="9" spans="2:4" s="8" customFormat="1" ht="36.75" customHeight="1">
      <c r="B9" s="114"/>
      <c r="C9" s="144">
        <v>0.1</v>
      </c>
      <c r="D9" s="127" t="s">
        <v>343</v>
      </c>
    </row>
    <row r="10" spans="2:4" s="6" customFormat="1" ht="24" customHeight="1">
      <c r="B10" s="113" t="s">
        <v>9</v>
      </c>
      <c r="C10" s="144">
        <v>0.5</v>
      </c>
      <c r="D10" s="129" t="s">
        <v>263</v>
      </c>
    </row>
    <row r="11" spans="2:4" s="8" customFormat="1" ht="24" customHeight="1">
      <c r="B11" s="114" t="s">
        <v>2</v>
      </c>
      <c r="C11" s="144">
        <v>0</v>
      </c>
      <c r="D11" s="127" t="s">
        <v>441</v>
      </c>
    </row>
    <row r="12" spans="2:4" s="8" customFormat="1" ht="24" customHeight="1">
      <c r="B12" s="114" t="s">
        <v>115</v>
      </c>
      <c r="C12" s="144">
        <v>0</v>
      </c>
      <c r="D12" s="127" t="s">
        <v>439</v>
      </c>
    </row>
    <row r="13" spans="2:4" s="8" customFormat="1" ht="24" customHeight="1">
      <c r="B13" s="114" t="s">
        <v>116</v>
      </c>
      <c r="C13" s="144">
        <v>0</v>
      </c>
      <c r="D13" s="127" t="s">
        <v>440</v>
      </c>
    </row>
    <row r="14" spans="2:4" s="8" customFormat="1" ht="24" customHeight="1">
      <c r="B14" s="113" t="s">
        <v>19</v>
      </c>
      <c r="C14" s="153">
        <v>0</v>
      </c>
      <c r="D14" s="127" t="s">
        <v>241</v>
      </c>
    </row>
    <row r="15" spans="2:4" s="6" customFormat="1" ht="24" customHeight="1">
      <c r="B15" s="113" t="s">
        <v>39</v>
      </c>
      <c r="C15" s="154">
        <v>80</v>
      </c>
      <c r="D15" s="129" t="s">
        <v>41</v>
      </c>
    </row>
    <row r="16" spans="2:4" s="6" customFormat="1" ht="24" customHeight="1">
      <c r="B16" s="111" t="s">
        <v>40</v>
      </c>
      <c r="C16" s="154">
        <v>10</v>
      </c>
      <c r="D16" s="129" t="s">
        <v>42</v>
      </c>
    </row>
    <row r="17" spans="2:4" s="6" customFormat="1" ht="24" customHeight="1">
      <c r="B17" s="111" t="s">
        <v>28</v>
      </c>
      <c r="C17" s="179">
        <v>100</v>
      </c>
      <c r="D17" s="182" t="s">
        <v>236</v>
      </c>
    </row>
    <row r="18" spans="2:4" s="8" customFormat="1" ht="24" customHeight="1">
      <c r="B18" s="113" t="s">
        <v>3</v>
      </c>
      <c r="C18" s="78">
        <f>IF(C5&gt;=0.5,(C19+C20),(C19-C20))</f>
        <v>2.8294839835399102</v>
      </c>
      <c r="D18" s="161" t="s">
        <v>24</v>
      </c>
    </row>
    <row r="19" spans="2:4" s="8" customFormat="1" ht="24" customHeight="1">
      <c r="B19" s="141" t="s">
        <v>229</v>
      </c>
      <c r="C19" s="78">
        <f>IF(C4=2,TINV(C3,C17-C14-1),TINV(C3*2,C17-C14-1))</f>
        <v>1.9842169515864165</v>
      </c>
      <c r="D19" s="161" t="s">
        <v>223</v>
      </c>
    </row>
    <row r="20" spans="2:4" s="8" customFormat="1" ht="24" customHeight="1">
      <c r="B20" s="141" t="s">
        <v>230</v>
      </c>
      <c r="C20" s="78">
        <f>IF(C5&gt;=0.5,TINV((1-C5)*2,C17-C14-1),TINV(C5*2,C17-C14-1))</f>
        <v>0.84526703195349373</v>
      </c>
      <c r="D20" s="161" t="s">
        <v>224</v>
      </c>
    </row>
    <row r="21" spans="2:4" s="175" customFormat="1" ht="24" customHeight="1" thickBot="1">
      <c r="B21" s="156" t="s">
        <v>6</v>
      </c>
      <c r="C21" s="157">
        <f>$C$18*SQRT($C$6*$C$8*(1-$C$13)/$C$17+$C$7*C9*(1-$C$12)/($C$16*$C$17)+(1-$C$7-$C$6)*(1-$C$11)/(C10*(1-C10)*$C$16*$C$15*$C$17))</f>
        <v>4.4513817565385784E-2</v>
      </c>
      <c r="D21" s="168" t="s">
        <v>7</v>
      </c>
    </row>
    <row r="22" spans="2:4" ht="18">
      <c r="B22" s="39"/>
      <c r="C22" s="61"/>
      <c r="D22" s="39"/>
    </row>
    <row r="23" spans="2:4" ht="18">
      <c r="B23" s="38" t="s">
        <v>32</v>
      </c>
      <c r="C23" s="65"/>
      <c r="D23" s="38"/>
    </row>
  </sheetData>
  <mergeCells count="1">
    <mergeCell ref="B1:D1"/>
  </mergeCells>
  <phoneticPr fontId="15" type="noConversion"/>
  <printOptions horizontalCentered="1"/>
  <pageMargins left="1" right="1" top="1" bottom="1" header="0.5" footer="0.5"/>
  <pageSetup scale="56" fitToHeight="6" orientation="portrait" horizontalDpi="4294967293" r:id="rId1"/>
  <headerFooter>
    <oddFooter>&amp;L&amp;F&amp;A&amp;RPrinted:  &amp;D</oddFooter>
  </headerFooter>
  <drawing r:id="rId2"/>
  <legacyDrawing r:id="rId3"/>
  <oleObjects>
    <mc:AlternateContent xmlns:mc="http://schemas.openxmlformats.org/markup-compatibility/2006">
      <mc:Choice Requires="x14">
        <oleObject progId="Equation.3" shapeId="4103" r:id="rId4">
          <objectPr defaultSize="0" autoPict="0" r:id="rId5">
            <anchor moveWithCells="1">
              <from>
                <xdr:col>1</xdr:col>
                <xdr:colOff>101600</xdr:colOff>
                <xdr:row>8</xdr:row>
                <xdr:rowOff>44450</xdr:rowOff>
              </from>
              <to>
                <xdr:col>1</xdr:col>
                <xdr:colOff>482600</xdr:colOff>
                <xdr:row>8</xdr:row>
                <xdr:rowOff>336550</xdr:rowOff>
              </to>
            </anchor>
          </objectPr>
        </oleObject>
      </mc:Choice>
      <mc:Fallback>
        <oleObject progId="Equation.3" shapeId="4103" r:id="rId4"/>
      </mc:Fallback>
    </mc:AlternateContent>
    <mc:AlternateContent xmlns:mc="http://schemas.openxmlformats.org/markup-compatibility/2006">
      <mc:Choice Requires="x14">
        <oleObject progId="Equation.3" shapeId="4104" r:id="rId6">
          <objectPr defaultSize="0" autoPict="0" r:id="rId7">
            <anchor moveWithCells="1">
              <from>
                <xdr:col>1</xdr:col>
                <xdr:colOff>69850</xdr:colOff>
                <xdr:row>7</xdr:row>
                <xdr:rowOff>44450</xdr:rowOff>
              </from>
              <to>
                <xdr:col>1</xdr:col>
                <xdr:colOff>527050</xdr:colOff>
                <xdr:row>7</xdr:row>
                <xdr:rowOff>330200</xdr:rowOff>
              </to>
            </anchor>
          </objectPr>
        </oleObject>
      </mc:Choice>
      <mc:Fallback>
        <oleObject progId="Equation.3" shapeId="4104" r:id="rId6"/>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theme="9" tint="-0.249977111117893"/>
    <pageSetUpPr fitToPage="1"/>
  </sheetPr>
  <dimension ref="B1:D27"/>
  <sheetViews>
    <sheetView showGridLines="0" zoomScale="70" zoomScaleNormal="70" workbookViewId="0">
      <selection activeCell="K13" sqref="K13"/>
    </sheetView>
  </sheetViews>
  <sheetFormatPr defaultColWidth="9.08984375" defaultRowHeight="18"/>
  <cols>
    <col min="1" max="1" width="3" style="39" customWidth="1"/>
    <col min="2" max="2" width="40.54296875" style="39" customWidth="1"/>
    <col min="3" max="3" width="9.54296875" style="61" customWidth="1"/>
    <col min="4" max="4" width="95.6328125" style="10" customWidth="1"/>
    <col min="5" max="16384" width="9.08984375" style="39"/>
  </cols>
  <sheetData>
    <row r="1" spans="2:4" ht="50" customHeight="1">
      <c r="B1" s="324" t="s">
        <v>282</v>
      </c>
      <c r="C1" s="325"/>
      <c r="D1" s="326"/>
    </row>
    <row r="2" spans="2:4" s="10" customFormat="1" ht="22.25" customHeight="1">
      <c r="B2" s="180" t="s">
        <v>0</v>
      </c>
      <c r="C2" s="74"/>
      <c r="D2" s="181" t="s">
        <v>1</v>
      </c>
    </row>
    <row r="3" spans="2:4" s="10" customFormat="1" ht="22.25" customHeight="1">
      <c r="B3" s="112" t="s">
        <v>111</v>
      </c>
      <c r="C3" s="97">
        <v>0.05</v>
      </c>
      <c r="D3" s="158" t="s">
        <v>411</v>
      </c>
    </row>
    <row r="4" spans="2:4" s="10" customFormat="1" ht="22.25" customHeight="1">
      <c r="B4" s="113" t="s">
        <v>36</v>
      </c>
      <c r="C4" s="97">
        <v>2</v>
      </c>
      <c r="D4" s="161"/>
    </row>
    <row r="5" spans="2:4" s="10" customFormat="1" ht="22.25" customHeight="1">
      <c r="B5" s="113" t="s">
        <v>94</v>
      </c>
      <c r="C5" s="98">
        <v>0.8</v>
      </c>
      <c r="D5" s="161" t="s">
        <v>91</v>
      </c>
    </row>
    <row r="6" spans="2:4" s="67" customFormat="1" ht="22.25" customHeight="1">
      <c r="B6" s="114" t="s">
        <v>22</v>
      </c>
      <c r="C6" s="99">
        <v>0.05</v>
      </c>
      <c r="D6" s="127" t="s">
        <v>444</v>
      </c>
    </row>
    <row r="7" spans="2:4" s="67" customFormat="1" ht="22.25" customHeight="1">
      <c r="B7" s="114" t="s">
        <v>18</v>
      </c>
      <c r="C7" s="99">
        <v>0.15</v>
      </c>
      <c r="D7" s="127" t="s">
        <v>445</v>
      </c>
    </row>
    <row r="8" spans="2:4" s="67" customFormat="1" ht="22.25" customHeight="1">
      <c r="B8" s="114" t="s">
        <v>50</v>
      </c>
      <c r="C8" s="99">
        <v>0.15</v>
      </c>
      <c r="D8" s="127" t="s">
        <v>446</v>
      </c>
    </row>
    <row r="9" spans="2:4" s="67" customFormat="1" ht="36.75" customHeight="1">
      <c r="B9" s="114"/>
      <c r="C9" s="99">
        <v>0.5</v>
      </c>
      <c r="D9" s="127" t="s">
        <v>242</v>
      </c>
    </row>
    <row r="10" spans="2:4" s="67" customFormat="1" ht="39" customHeight="1">
      <c r="B10" s="114"/>
      <c r="C10" s="99">
        <v>0.5</v>
      </c>
      <c r="D10" s="127" t="s">
        <v>238</v>
      </c>
    </row>
    <row r="11" spans="2:4" s="67" customFormat="1" ht="38.25" customHeight="1">
      <c r="B11" s="114"/>
      <c r="C11" s="99">
        <v>0.5</v>
      </c>
      <c r="D11" s="127" t="s">
        <v>239</v>
      </c>
    </row>
    <row r="12" spans="2:4" s="10" customFormat="1" ht="22.25" customHeight="1">
      <c r="B12" s="113" t="s">
        <v>9</v>
      </c>
      <c r="C12" s="99">
        <v>0.5</v>
      </c>
      <c r="D12" s="129" t="s">
        <v>240</v>
      </c>
    </row>
    <row r="13" spans="2:4" s="67" customFormat="1" ht="22.25" customHeight="1">
      <c r="B13" s="114" t="s">
        <v>2</v>
      </c>
      <c r="C13" s="99">
        <v>0.5</v>
      </c>
      <c r="D13" s="127" t="s">
        <v>432</v>
      </c>
    </row>
    <row r="14" spans="2:4" s="67" customFormat="1" ht="22.25" customHeight="1">
      <c r="B14" s="114" t="s">
        <v>115</v>
      </c>
      <c r="C14" s="99">
        <v>0.5</v>
      </c>
      <c r="D14" s="127" t="s">
        <v>439</v>
      </c>
    </row>
    <row r="15" spans="2:4" s="67" customFormat="1" ht="22.25" customHeight="1">
      <c r="B15" s="114" t="s">
        <v>116</v>
      </c>
      <c r="C15" s="99">
        <v>0.5</v>
      </c>
      <c r="D15" s="127" t="s">
        <v>447</v>
      </c>
    </row>
    <row r="16" spans="2:4" s="67" customFormat="1" ht="22.25" customHeight="1">
      <c r="B16" s="114" t="s">
        <v>117</v>
      </c>
      <c r="C16" s="99">
        <v>0.5</v>
      </c>
      <c r="D16" s="127" t="s">
        <v>448</v>
      </c>
    </row>
    <row r="17" spans="2:4" s="67" customFormat="1" ht="22.25" customHeight="1">
      <c r="B17" s="113" t="s">
        <v>21</v>
      </c>
      <c r="C17" s="100">
        <v>1</v>
      </c>
      <c r="D17" s="127" t="s">
        <v>231</v>
      </c>
    </row>
    <row r="18" spans="2:4" s="10" customFormat="1" ht="22.25" customHeight="1">
      <c r="B18" s="113" t="s">
        <v>39</v>
      </c>
      <c r="C18" s="101">
        <v>10</v>
      </c>
      <c r="D18" s="129" t="s">
        <v>41</v>
      </c>
    </row>
    <row r="19" spans="2:4" s="10" customFormat="1" ht="22.25" customHeight="1">
      <c r="B19" s="111" t="s">
        <v>40</v>
      </c>
      <c r="C19" s="101">
        <v>4</v>
      </c>
      <c r="D19" s="129" t="s">
        <v>42</v>
      </c>
    </row>
    <row r="20" spans="2:4" s="10" customFormat="1" ht="22.25" customHeight="1">
      <c r="B20" s="111" t="s">
        <v>44</v>
      </c>
      <c r="C20" s="101">
        <v>4</v>
      </c>
      <c r="D20" s="129" t="s">
        <v>43</v>
      </c>
    </row>
    <row r="21" spans="2:4" s="10" customFormat="1" ht="22.25" customHeight="1">
      <c r="B21" s="111" t="s">
        <v>30</v>
      </c>
      <c r="C21" s="183">
        <v>20</v>
      </c>
      <c r="D21" s="182" t="s">
        <v>243</v>
      </c>
    </row>
    <row r="22" spans="2:4" s="10" customFormat="1" ht="22.25" customHeight="1">
      <c r="B22" s="113" t="s">
        <v>3</v>
      </c>
      <c r="C22" s="78">
        <f>IF(C5&gt;=0.5,(C23+C24),(C23-C24))</f>
        <v>2.9629707082306362</v>
      </c>
      <c r="D22" s="161" t="s">
        <v>24</v>
      </c>
    </row>
    <row r="23" spans="2:4" s="10" customFormat="1" ht="22.25" customHeight="1">
      <c r="B23" s="141" t="s">
        <v>229</v>
      </c>
      <c r="C23" s="78">
        <f>IF(C4=2,TINV(C3,C21-C17-1),TINV(C3*2,C21-C17-1))</f>
        <v>2.1009220402410378</v>
      </c>
      <c r="D23" s="161" t="s">
        <v>223</v>
      </c>
    </row>
    <row r="24" spans="2:4" s="10" customFormat="1" ht="22.25" customHeight="1">
      <c r="B24" s="141" t="s">
        <v>230</v>
      </c>
      <c r="C24" s="78">
        <f>IF(C5&gt;=0.5,TINV((1-C5)*2,C21-C17-1),TINV(C5*2,C21-C17-1))</f>
        <v>0.86204866798959834</v>
      </c>
      <c r="D24" s="161" t="s">
        <v>224</v>
      </c>
    </row>
    <row r="25" spans="2:4" s="10" customFormat="1" ht="22.25" customHeight="1" thickBot="1">
      <c r="B25" s="156" t="s">
        <v>6</v>
      </c>
      <c r="C25" s="157">
        <f>$C$22*SQRT($C$6*C9*(1-$C$16)/$C$21+$C$7*C10*(1-$C$15)/($C$21*C20)+$C$8*C11*(1-$C$14)/($C$19*$C$20*C21)+(1-$C$8-C7-$C$6)*(1-$C$13)/(C12*(1-C12)*$C$19*$C$18*$C$20*C21))</f>
        <v>0.11915370363432441</v>
      </c>
      <c r="D25" s="168" t="s">
        <v>7</v>
      </c>
    </row>
    <row r="27" spans="2:4">
      <c r="B27" s="38" t="s">
        <v>32</v>
      </c>
      <c r="C27" s="65"/>
      <c r="D27" s="66"/>
    </row>
  </sheetData>
  <mergeCells count="1">
    <mergeCell ref="B1:D1"/>
  </mergeCells>
  <phoneticPr fontId="15" type="noConversion"/>
  <printOptions horizontalCentered="1"/>
  <pageMargins left="1" right="1" top="1" bottom="1" header="0.5" footer="0.5"/>
  <pageSetup scale="56"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2289" r:id="rId4">
          <objectPr defaultSize="0" autoPict="0" r:id="rId5">
            <anchor moveWithCells="1">
              <from>
                <xdr:col>1</xdr:col>
                <xdr:colOff>139700</xdr:colOff>
                <xdr:row>8</xdr:row>
                <xdr:rowOff>101600</xdr:rowOff>
              </from>
              <to>
                <xdr:col>1</xdr:col>
                <xdr:colOff>527050</xdr:colOff>
                <xdr:row>8</xdr:row>
                <xdr:rowOff>336550</xdr:rowOff>
              </to>
            </anchor>
          </objectPr>
        </oleObject>
      </mc:Choice>
      <mc:Fallback>
        <oleObject progId="Equation.3" shapeId="12289" r:id="rId4"/>
      </mc:Fallback>
    </mc:AlternateContent>
    <mc:AlternateContent xmlns:mc="http://schemas.openxmlformats.org/markup-compatibility/2006">
      <mc:Choice Requires="x14">
        <oleObject progId="Equation.3" shapeId="12290" r:id="rId6">
          <objectPr defaultSize="0" autoPict="0" r:id="rId7">
            <anchor moveWithCells="1">
              <from>
                <xdr:col>1</xdr:col>
                <xdr:colOff>114300</xdr:colOff>
                <xdr:row>9</xdr:row>
                <xdr:rowOff>107950</xdr:rowOff>
              </from>
              <to>
                <xdr:col>1</xdr:col>
                <xdr:colOff>527050</xdr:colOff>
                <xdr:row>9</xdr:row>
                <xdr:rowOff>381000</xdr:rowOff>
              </to>
            </anchor>
          </objectPr>
        </oleObject>
      </mc:Choice>
      <mc:Fallback>
        <oleObject progId="Equation.3" shapeId="12290" r:id="rId6"/>
      </mc:Fallback>
    </mc:AlternateContent>
    <mc:AlternateContent xmlns:mc="http://schemas.openxmlformats.org/markup-compatibility/2006">
      <mc:Choice Requires="x14">
        <oleObject progId="Equation.3" shapeId="12291" r:id="rId8">
          <objectPr defaultSize="0" autoPict="0" r:id="rId9">
            <anchor moveWithCells="1">
              <from>
                <xdr:col>1</xdr:col>
                <xdr:colOff>120650</xdr:colOff>
                <xdr:row>10</xdr:row>
                <xdr:rowOff>76200</xdr:rowOff>
              </from>
              <to>
                <xdr:col>1</xdr:col>
                <xdr:colOff>527050</xdr:colOff>
                <xdr:row>10</xdr:row>
                <xdr:rowOff>336550</xdr:rowOff>
              </to>
            </anchor>
          </objectPr>
        </oleObject>
      </mc:Choice>
      <mc:Fallback>
        <oleObject progId="Equation.3" shapeId="12291" r:id="rId8"/>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theme="6" tint="-0.499984740745262"/>
    <pageSetUpPr fitToPage="1"/>
  </sheetPr>
  <dimension ref="A1:D18"/>
  <sheetViews>
    <sheetView showGridLines="0" zoomScale="90" zoomScaleNormal="90" workbookViewId="0">
      <selection activeCell="C14" sqref="C14"/>
    </sheetView>
  </sheetViews>
  <sheetFormatPr defaultColWidth="9.08984375" defaultRowHeight="13"/>
  <cols>
    <col min="1" max="1" width="2.453125" style="2" customWidth="1"/>
    <col min="2" max="2" width="33.453125" style="3" customWidth="1"/>
    <col min="3" max="3" width="9.81640625" style="5" customWidth="1"/>
    <col min="4" max="4" width="87.08984375" style="3" customWidth="1"/>
    <col min="5" max="16384" width="9.08984375" style="3"/>
  </cols>
  <sheetData>
    <row r="1" spans="1:4" ht="35.4" customHeight="1">
      <c r="A1" s="62"/>
      <c r="B1" s="324" t="s">
        <v>344</v>
      </c>
      <c r="C1" s="325"/>
      <c r="D1" s="326"/>
    </row>
    <row r="2" spans="1:4" s="6" customFormat="1" ht="22.25" customHeight="1">
      <c r="A2" s="63"/>
      <c r="B2" s="180" t="s">
        <v>0</v>
      </c>
      <c r="C2" s="186"/>
      <c r="D2" s="187" t="s">
        <v>1</v>
      </c>
    </row>
    <row r="3" spans="1:4" s="6" customFormat="1" ht="22.25" customHeight="1">
      <c r="A3" s="63"/>
      <c r="B3" s="112" t="s">
        <v>111</v>
      </c>
      <c r="C3" s="97">
        <v>0.05</v>
      </c>
      <c r="D3" s="158" t="s">
        <v>411</v>
      </c>
    </row>
    <row r="4" spans="1:4" s="6" customFormat="1" ht="22.25" customHeight="1">
      <c r="A4" s="63"/>
      <c r="B4" s="113" t="s">
        <v>36</v>
      </c>
      <c r="C4" s="97">
        <v>2</v>
      </c>
      <c r="D4" s="127"/>
    </row>
    <row r="5" spans="1:4" s="6" customFormat="1" ht="22.25" customHeight="1">
      <c r="A5" s="63"/>
      <c r="B5" s="113" t="s">
        <v>94</v>
      </c>
      <c r="C5" s="98">
        <v>0.8</v>
      </c>
      <c r="D5" s="127" t="s">
        <v>91</v>
      </c>
    </row>
    <row r="6" spans="1:4" s="6" customFormat="1" ht="22.25" customHeight="1">
      <c r="A6" s="63"/>
      <c r="B6" s="111" t="s">
        <v>83</v>
      </c>
      <c r="C6" s="99">
        <v>0.15</v>
      </c>
      <c r="D6" s="127" t="s">
        <v>449</v>
      </c>
    </row>
    <row r="7" spans="1:4" s="6" customFormat="1" ht="22.25" customHeight="1">
      <c r="A7" s="63"/>
      <c r="B7" s="113" t="s">
        <v>10</v>
      </c>
      <c r="C7" s="99">
        <v>0.5</v>
      </c>
      <c r="D7" s="129" t="s">
        <v>268</v>
      </c>
    </row>
    <row r="8" spans="1:4" s="6" customFormat="1" ht="22.25" customHeight="1">
      <c r="A8" s="63"/>
      <c r="B8" s="111" t="s">
        <v>2</v>
      </c>
      <c r="C8" s="99">
        <v>0.4</v>
      </c>
      <c r="D8" s="127" t="s">
        <v>450</v>
      </c>
    </row>
    <row r="9" spans="1:4" s="6" customFormat="1" ht="22.25" customHeight="1">
      <c r="A9" s="63"/>
      <c r="B9" s="114" t="s">
        <v>51</v>
      </c>
      <c r="C9" s="99">
        <v>0.53</v>
      </c>
      <c r="D9" s="127" t="s">
        <v>311</v>
      </c>
    </row>
    <row r="10" spans="1:4" s="6" customFormat="1" ht="22.25" customHeight="1">
      <c r="A10" s="63"/>
      <c r="B10" s="114" t="s">
        <v>5</v>
      </c>
      <c r="C10" s="100">
        <v>1</v>
      </c>
      <c r="D10" s="127" t="s">
        <v>234</v>
      </c>
    </row>
    <row r="11" spans="1:4" s="6" customFormat="1" ht="22.25" customHeight="1">
      <c r="A11" s="63"/>
      <c r="B11" s="113" t="s">
        <v>26</v>
      </c>
      <c r="C11" s="101">
        <v>100</v>
      </c>
      <c r="D11" s="129" t="s">
        <v>37</v>
      </c>
    </row>
    <row r="12" spans="1:4" s="6" customFormat="1" ht="22.25" customHeight="1">
      <c r="A12" s="63"/>
      <c r="B12" s="111" t="s">
        <v>27</v>
      </c>
      <c r="C12" s="101">
        <v>40</v>
      </c>
      <c r="D12" s="127" t="s">
        <v>235</v>
      </c>
    </row>
    <row r="13" spans="1:4" s="6" customFormat="1" ht="22.25" customHeight="1">
      <c r="A13" s="63"/>
      <c r="B13" s="152" t="s">
        <v>3</v>
      </c>
      <c r="C13" s="78">
        <f>IF(C5&gt;=0.5,(C14+C15),(C14-C15))</f>
        <v>2.8776364940237085</v>
      </c>
      <c r="D13" s="161" t="s">
        <v>24</v>
      </c>
    </row>
    <row r="14" spans="1:4" s="6" customFormat="1" ht="22.25" customHeight="1">
      <c r="A14" s="63"/>
      <c r="B14" s="141" t="s">
        <v>229</v>
      </c>
      <c r="C14" s="78">
        <f>IF(C4=2,TINV(C3,C12-C10-2),TINV(C3*2,C12-C10-2))</f>
        <v>2.026192463029111</v>
      </c>
      <c r="D14" s="161" t="s">
        <v>223</v>
      </c>
    </row>
    <row r="15" spans="1:4" s="6" customFormat="1" ht="22.25" customHeight="1">
      <c r="A15" s="63"/>
      <c r="B15" s="141" t="s">
        <v>230</v>
      </c>
      <c r="C15" s="78">
        <f>IF(C5&gt;=0.5,TINV((1-C5)*2,C12-C10-2),TINV(C5*2,C12-C10-2))</f>
        <v>0.85144403099459742</v>
      </c>
      <c r="D15" s="161" t="s">
        <v>224</v>
      </c>
    </row>
    <row r="16" spans="1:4" s="175" customFormat="1" ht="22.25" customHeight="1" thickBot="1">
      <c r="A16" s="63"/>
      <c r="B16" s="156" t="s">
        <v>92</v>
      </c>
      <c r="C16" s="157">
        <f>C$13*SQRT(C$6*(1-C$9)/(C$7*(1-C$7)*C$12)+(1-C$6)*(1-C$8)/(C$7*(1-C$7)*C$12*C$11))</f>
        <v>0.25020548744088761</v>
      </c>
      <c r="D16" s="168" t="s">
        <v>82</v>
      </c>
    </row>
    <row r="17" spans="1:4" s="2" customFormat="1" ht="18.649999999999999" customHeight="1">
      <c r="A17" s="62"/>
      <c r="B17" s="39"/>
      <c r="C17" s="7"/>
      <c r="D17" s="39"/>
    </row>
    <row r="18" spans="1:4" s="2" customFormat="1" ht="18">
      <c r="A18" s="62"/>
      <c r="B18" s="317" t="s">
        <v>32</v>
      </c>
      <c r="C18" s="317"/>
      <c r="D18" s="317"/>
    </row>
  </sheetData>
  <protectedRanges>
    <protectedRange password="CF7A" sqref="C13:C16" name="Forbidden revising"/>
  </protectedRanges>
  <mergeCells count="2">
    <mergeCell ref="B18:D18"/>
    <mergeCell ref="B1:D1"/>
  </mergeCells>
  <phoneticPr fontId="19" type="noConversion"/>
  <printOptions horizontalCentered="1"/>
  <pageMargins left="1" right="1" top="1" bottom="1" header="0.5" footer="0.5"/>
  <pageSetup scale="55" fitToHeight="6" orientation="portrait" horizontalDpi="4294967293" r:id="rId1"/>
  <headerFooter>
    <oddFooter>&amp;L&amp;F&amp;A&amp;RPrinted:  &amp;D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6" tint="-0.499984740745262"/>
    <pageSetUpPr fitToPage="1"/>
  </sheetPr>
  <dimension ref="A1:D21"/>
  <sheetViews>
    <sheetView showGridLines="0" zoomScale="80" zoomScaleNormal="80" workbookViewId="0">
      <selection activeCell="G25" sqref="G25"/>
    </sheetView>
  </sheetViews>
  <sheetFormatPr defaultColWidth="9.08984375" defaultRowHeight="13"/>
  <cols>
    <col min="1" max="1" width="3.36328125" style="2" customWidth="1"/>
    <col min="2" max="2" width="43.36328125" style="3" customWidth="1"/>
    <col min="3" max="3" width="11.6328125" style="5" customWidth="1"/>
    <col min="4" max="4" width="86.54296875" style="3" customWidth="1"/>
    <col min="5" max="16384" width="9.08984375" style="3"/>
  </cols>
  <sheetData>
    <row r="1" spans="1:4" ht="36.75" customHeight="1">
      <c r="A1" s="62"/>
      <c r="B1" s="327" t="s">
        <v>345</v>
      </c>
      <c r="C1" s="328"/>
      <c r="D1" s="329"/>
    </row>
    <row r="2" spans="1:4" s="6" customFormat="1" ht="23.4" customHeight="1">
      <c r="A2" s="63"/>
      <c r="B2" s="110" t="s">
        <v>0</v>
      </c>
      <c r="C2" s="74"/>
      <c r="D2" s="181" t="s">
        <v>1</v>
      </c>
    </row>
    <row r="3" spans="1:4" s="6" customFormat="1" ht="23.4" customHeight="1">
      <c r="A3" s="63"/>
      <c r="B3" s="112" t="s">
        <v>111</v>
      </c>
      <c r="C3" s="97">
        <v>0.05</v>
      </c>
      <c r="D3" s="158" t="s">
        <v>411</v>
      </c>
    </row>
    <row r="4" spans="1:4" s="6" customFormat="1" ht="23.4" customHeight="1">
      <c r="A4" s="63"/>
      <c r="B4" s="113" t="s">
        <v>36</v>
      </c>
      <c r="C4" s="97">
        <v>2</v>
      </c>
      <c r="D4" s="127"/>
    </row>
    <row r="5" spans="1:4" s="6" customFormat="1" ht="23.4" customHeight="1">
      <c r="A5" s="63"/>
      <c r="B5" s="113" t="s">
        <v>94</v>
      </c>
      <c r="C5" s="98">
        <v>0.8</v>
      </c>
      <c r="D5" s="127" t="s">
        <v>91</v>
      </c>
    </row>
    <row r="6" spans="1:4" s="6" customFormat="1" ht="23.4" customHeight="1">
      <c r="A6" s="63"/>
      <c r="B6" s="114" t="s">
        <v>18</v>
      </c>
      <c r="C6" s="144">
        <v>0.38</v>
      </c>
      <c r="D6" s="127" t="s">
        <v>451</v>
      </c>
    </row>
    <row r="7" spans="1:4" s="6" customFormat="1" ht="23.4" customHeight="1">
      <c r="A7" s="63"/>
      <c r="B7" s="114" t="s">
        <v>50</v>
      </c>
      <c r="C7" s="144">
        <v>0.1</v>
      </c>
      <c r="D7" s="127" t="s">
        <v>446</v>
      </c>
    </row>
    <row r="8" spans="1:4" s="6" customFormat="1" ht="23.4" customHeight="1">
      <c r="A8" s="63"/>
      <c r="B8" s="113" t="s">
        <v>10</v>
      </c>
      <c r="C8" s="144">
        <v>0.5</v>
      </c>
      <c r="D8" s="129" t="s">
        <v>237</v>
      </c>
    </row>
    <row r="9" spans="1:4" s="6" customFormat="1" ht="23.4" customHeight="1">
      <c r="A9" s="63"/>
      <c r="B9" s="114" t="s">
        <v>2</v>
      </c>
      <c r="C9" s="144">
        <v>0.37</v>
      </c>
      <c r="D9" s="127" t="s">
        <v>452</v>
      </c>
    </row>
    <row r="10" spans="1:4" s="6" customFormat="1" ht="23.4" customHeight="1">
      <c r="A10" s="63"/>
      <c r="B10" s="114" t="s">
        <v>51</v>
      </c>
      <c r="C10" s="144">
        <v>0.53</v>
      </c>
      <c r="D10" s="127" t="s">
        <v>453</v>
      </c>
    </row>
    <row r="11" spans="1:4" s="6" customFormat="1" ht="23.4" customHeight="1">
      <c r="A11" s="63"/>
      <c r="B11" s="114" t="s">
        <v>55</v>
      </c>
      <c r="C11" s="144">
        <v>0.87</v>
      </c>
      <c r="D11" s="127" t="s">
        <v>454</v>
      </c>
    </row>
    <row r="12" spans="1:4" s="6" customFormat="1" ht="23.4" customHeight="1">
      <c r="A12" s="63"/>
      <c r="B12" s="113" t="s">
        <v>19</v>
      </c>
      <c r="C12" s="153">
        <v>1</v>
      </c>
      <c r="D12" s="127" t="s">
        <v>251</v>
      </c>
    </row>
    <row r="13" spans="1:4" s="6" customFormat="1" ht="23.4" customHeight="1">
      <c r="A13" s="63"/>
      <c r="B13" s="113" t="s">
        <v>39</v>
      </c>
      <c r="C13" s="154">
        <v>20</v>
      </c>
      <c r="D13" s="129" t="s">
        <v>41</v>
      </c>
    </row>
    <row r="14" spans="1:4" s="6" customFormat="1" ht="23.4" customHeight="1">
      <c r="A14" s="63"/>
      <c r="B14" s="111" t="s">
        <v>40</v>
      </c>
      <c r="C14" s="154">
        <v>2</v>
      </c>
      <c r="D14" s="129" t="s">
        <v>42</v>
      </c>
    </row>
    <row r="15" spans="1:4" s="6" customFormat="1" ht="23.4" customHeight="1">
      <c r="A15" s="63"/>
      <c r="B15" s="111" t="s">
        <v>28</v>
      </c>
      <c r="C15" s="179">
        <v>66</v>
      </c>
      <c r="D15" s="182" t="s">
        <v>236</v>
      </c>
    </row>
    <row r="16" spans="1:4" s="6" customFormat="1" ht="23.4" customHeight="1">
      <c r="A16" s="63"/>
      <c r="B16" s="152" t="s">
        <v>3</v>
      </c>
      <c r="C16" s="78">
        <f>IF(C5&gt;=0.5,(C17+C18),(C17-C18))</f>
        <v>2.8457044547963868</v>
      </c>
      <c r="D16" s="161" t="s">
        <v>24</v>
      </c>
    </row>
    <row r="17" spans="1:4" s="6" customFormat="1" ht="23.4" customHeight="1">
      <c r="A17" s="63"/>
      <c r="B17" s="141" t="s">
        <v>229</v>
      </c>
      <c r="C17" s="78">
        <f>IF(C4=2,TINV(C3,C15-C12-2),TINV(C3*2,C15-C12-2))</f>
        <v>1.9983405425207412</v>
      </c>
      <c r="D17" s="161" t="s">
        <v>223</v>
      </c>
    </row>
    <row r="18" spans="1:4" s="6" customFormat="1" ht="23.4" customHeight="1">
      <c r="A18" s="63"/>
      <c r="B18" s="141" t="s">
        <v>230</v>
      </c>
      <c r="C18" s="78">
        <f>IF(C5&gt;=0.5,TINV((1-C5)*2,C15-C12-2),TINV(C5*2,C15-C12-2))</f>
        <v>0.84736391227564545</v>
      </c>
      <c r="D18" s="161" t="s">
        <v>224</v>
      </c>
    </row>
    <row r="19" spans="1:4" s="175" customFormat="1" ht="23.4" customHeight="1" thickBot="1">
      <c r="A19" s="63"/>
      <c r="B19" s="156" t="s">
        <v>6</v>
      </c>
      <c r="C19" s="157">
        <f>$C$16*SQRT($C$6*(1-$C$11)/($C$8*(1-$C$8)*$C$15)+$C$7*(1-$C$10)/($C$8*(1-$C$8)*$C$14*$C$15)+(1-$C$7-$C$6)*(1-$C$9)/($C$8*(1-$C$8)*$C$14*$C$13*$C$15))</f>
        <v>0.19949475035454281</v>
      </c>
      <c r="D19" s="168" t="s">
        <v>7</v>
      </c>
    </row>
    <row r="20" spans="1:4" ht="18">
      <c r="A20" s="62"/>
      <c r="B20" s="39"/>
      <c r="C20" s="61"/>
      <c r="D20" s="39"/>
    </row>
    <row r="21" spans="1:4" ht="18">
      <c r="A21" s="62"/>
      <c r="B21" s="38" t="s">
        <v>32</v>
      </c>
      <c r="C21" s="65"/>
      <c r="D21" s="38"/>
    </row>
  </sheetData>
  <mergeCells count="1">
    <mergeCell ref="B1:D1"/>
  </mergeCells>
  <phoneticPr fontId="15" type="noConversion"/>
  <printOptions horizontalCentered="1"/>
  <pageMargins left="1" right="1" top="1" bottom="1" header="0.5" footer="0.5"/>
  <pageSetup scale="54" fitToHeight="6" orientation="portrait" horizontalDpi="4294967293" r:id="rId1"/>
  <headerFooter>
    <oddFooter>&amp;L&amp;F&amp;A&amp;RPrinted:  &amp;D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6" tint="-0.499984740745262"/>
    <pageSetUpPr fitToPage="1"/>
  </sheetPr>
  <dimension ref="B1:D24"/>
  <sheetViews>
    <sheetView showGridLines="0" zoomScale="80" zoomScaleNormal="80" workbookViewId="0">
      <selection activeCell="E23" sqref="E23"/>
    </sheetView>
  </sheetViews>
  <sheetFormatPr defaultColWidth="9.08984375" defaultRowHeight="18"/>
  <cols>
    <col min="1" max="1" width="4" style="39" customWidth="1"/>
    <col min="2" max="2" width="41.90625" style="39" customWidth="1"/>
    <col min="3" max="3" width="10.54296875" style="61" customWidth="1"/>
    <col min="4" max="4" width="91.1796875" style="39" customWidth="1"/>
    <col min="5" max="16384" width="9.08984375" style="39"/>
  </cols>
  <sheetData>
    <row r="1" spans="2:4" s="67" customFormat="1" ht="29.4" customHeight="1">
      <c r="B1" s="330" t="s">
        <v>346</v>
      </c>
      <c r="C1" s="331"/>
      <c r="D1" s="332"/>
    </row>
    <row r="2" spans="2:4" s="67" customFormat="1" ht="20.399999999999999" customHeight="1">
      <c r="B2" s="110" t="s">
        <v>0</v>
      </c>
      <c r="C2" s="178"/>
      <c r="D2" s="181" t="s">
        <v>1</v>
      </c>
    </row>
    <row r="3" spans="2:4" s="67" customFormat="1" ht="20.399999999999999" customHeight="1">
      <c r="B3" s="112" t="s">
        <v>111</v>
      </c>
      <c r="C3" s="97">
        <v>0.05</v>
      </c>
      <c r="D3" s="158" t="s">
        <v>411</v>
      </c>
    </row>
    <row r="4" spans="2:4" s="67" customFormat="1" ht="20.399999999999999" customHeight="1">
      <c r="B4" s="113" t="s">
        <v>36</v>
      </c>
      <c r="C4" s="97">
        <v>2</v>
      </c>
      <c r="D4" s="158"/>
    </row>
    <row r="5" spans="2:4" s="67" customFormat="1" ht="20.399999999999999" customHeight="1">
      <c r="B5" s="113" t="s">
        <v>94</v>
      </c>
      <c r="C5" s="98">
        <v>0.8</v>
      </c>
      <c r="D5" s="158" t="s">
        <v>91</v>
      </c>
    </row>
    <row r="6" spans="2:4" s="67" customFormat="1" ht="20.399999999999999" customHeight="1">
      <c r="B6" s="114" t="s">
        <v>22</v>
      </c>
      <c r="C6" s="144">
        <v>0.05</v>
      </c>
      <c r="D6" s="127" t="s">
        <v>455</v>
      </c>
    </row>
    <row r="7" spans="2:4" s="67" customFormat="1" ht="20.399999999999999" customHeight="1">
      <c r="B7" s="114" t="s">
        <v>18</v>
      </c>
      <c r="C7" s="144">
        <v>0.05</v>
      </c>
      <c r="D7" s="127" t="s">
        <v>456</v>
      </c>
    </row>
    <row r="8" spans="2:4" s="67" customFormat="1" ht="20.399999999999999" customHeight="1">
      <c r="B8" s="114" t="s">
        <v>50</v>
      </c>
      <c r="C8" s="144">
        <v>0.1</v>
      </c>
      <c r="D8" s="127" t="s">
        <v>457</v>
      </c>
    </row>
    <row r="9" spans="2:4" s="67" customFormat="1" ht="20.399999999999999" customHeight="1">
      <c r="B9" s="113" t="s">
        <v>10</v>
      </c>
      <c r="C9" s="144">
        <v>0.5</v>
      </c>
      <c r="D9" s="129" t="s">
        <v>295</v>
      </c>
    </row>
    <row r="10" spans="2:4" s="67" customFormat="1" ht="20.399999999999999" customHeight="1">
      <c r="B10" s="114" t="s">
        <v>2</v>
      </c>
      <c r="C10" s="144">
        <v>0.5</v>
      </c>
      <c r="D10" s="127" t="s">
        <v>458</v>
      </c>
    </row>
    <row r="11" spans="2:4" s="67" customFormat="1" ht="20.399999999999999" customHeight="1">
      <c r="B11" s="114" t="s">
        <v>51</v>
      </c>
      <c r="C11" s="144">
        <v>0.5</v>
      </c>
      <c r="D11" s="127" t="s">
        <v>459</v>
      </c>
    </row>
    <row r="12" spans="2:4" s="67" customFormat="1" ht="20.399999999999999" customHeight="1">
      <c r="B12" s="114" t="s">
        <v>55</v>
      </c>
      <c r="C12" s="144">
        <v>0.5</v>
      </c>
      <c r="D12" s="127" t="s">
        <v>460</v>
      </c>
    </row>
    <row r="13" spans="2:4" s="67" customFormat="1" ht="20.399999999999999" customHeight="1">
      <c r="B13" s="114" t="s">
        <v>20</v>
      </c>
      <c r="C13" s="144">
        <v>0.5</v>
      </c>
      <c r="D13" s="127" t="s">
        <v>461</v>
      </c>
    </row>
    <row r="14" spans="2:4" s="67" customFormat="1" ht="20.399999999999999" customHeight="1">
      <c r="B14" s="113" t="s">
        <v>21</v>
      </c>
      <c r="C14" s="153">
        <v>1</v>
      </c>
      <c r="D14" s="127" t="s">
        <v>231</v>
      </c>
    </row>
    <row r="15" spans="2:4" s="10" customFormat="1" ht="20.399999999999999" customHeight="1">
      <c r="B15" s="113" t="s">
        <v>39</v>
      </c>
      <c r="C15" s="154">
        <v>10</v>
      </c>
      <c r="D15" s="129" t="s">
        <v>41</v>
      </c>
    </row>
    <row r="16" spans="2:4" s="10" customFormat="1" ht="20.399999999999999" customHeight="1">
      <c r="B16" s="111" t="s">
        <v>40</v>
      </c>
      <c r="C16" s="154">
        <v>2</v>
      </c>
      <c r="D16" s="129" t="s">
        <v>42</v>
      </c>
    </row>
    <row r="17" spans="2:4" s="10" customFormat="1" ht="20.399999999999999" customHeight="1">
      <c r="B17" s="111" t="s">
        <v>44</v>
      </c>
      <c r="C17" s="154">
        <v>3</v>
      </c>
      <c r="D17" s="129" t="s">
        <v>43</v>
      </c>
    </row>
    <row r="18" spans="2:4" s="10" customFormat="1" ht="20.399999999999999" customHeight="1">
      <c r="B18" s="111" t="s">
        <v>30</v>
      </c>
      <c r="C18" s="179">
        <v>20</v>
      </c>
      <c r="D18" s="182" t="s">
        <v>233</v>
      </c>
    </row>
    <row r="19" spans="2:4" s="67" customFormat="1" ht="20.399999999999999" customHeight="1">
      <c r="B19" s="152" t="s">
        <v>3</v>
      </c>
      <c r="C19" s="78">
        <f>IF(C5&gt;=0.5,(C20+C21),(C20-C21))</f>
        <v>2.9730945952533698</v>
      </c>
      <c r="D19" s="161" t="s">
        <v>24</v>
      </c>
    </row>
    <row r="20" spans="2:4" s="67" customFormat="1" ht="20.399999999999999" customHeight="1">
      <c r="B20" s="141" t="s">
        <v>229</v>
      </c>
      <c r="C20" s="78">
        <f>IF(C4=2,TINV(C3,C18-C14-2),TINV(C3*2,C18-C14-2))</f>
        <v>2.109815577833317</v>
      </c>
      <c r="D20" s="161" t="s">
        <v>223</v>
      </c>
    </row>
    <row r="21" spans="2:4" s="67" customFormat="1" ht="20.399999999999999" customHeight="1">
      <c r="B21" s="141" t="s">
        <v>230</v>
      </c>
      <c r="C21" s="78">
        <f>IF(C5&gt;=0.5,TINV((1-C5)*2,C18-C14-2),TINV(C5*2,C18-C14-2))</f>
        <v>0.86327901742005297</v>
      </c>
      <c r="D21" s="161" t="s">
        <v>224</v>
      </c>
    </row>
    <row r="22" spans="2:4" s="10" customFormat="1" ht="20.399999999999999" customHeight="1" thickBot="1">
      <c r="B22" s="195" t="s">
        <v>6</v>
      </c>
      <c r="C22" s="196">
        <f>$C$19*SQRT($C$6*(1-$C$13)/(C9*(1-C9)*$C$18)+$C$7*(1-$C$12)/(C9*(1-C9)*$C$18*C17)+$C$8*(1-$C$11)/(C9*(1-C9)*$C$16*$C$17*C18)+(1-$C$8-C7-$C$6)*(1-$C$10)/(C9*(1-C9)*$C$16*$C$15*$C$17*C18))</f>
        <v>0.29231230598877128</v>
      </c>
      <c r="D22" s="197" t="s">
        <v>7</v>
      </c>
    </row>
    <row r="24" spans="2:4">
      <c r="B24" s="38" t="s">
        <v>32</v>
      </c>
      <c r="C24" s="65"/>
      <c r="D24" s="38"/>
    </row>
  </sheetData>
  <mergeCells count="1">
    <mergeCell ref="B1:D1"/>
  </mergeCells>
  <phoneticPr fontId="15" type="noConversion"/>
  <printOptions horizontalCentered="1"/>
  <pageMargins left="1" right="1" top="1" bottom="1" header="0.5" footer="0.5"/>
  <pageSetup scale="54" fitToHeight="6" orientation="portrait" horizontalDpi="4294967293" r:id="rId1"/>
  <headerFooter>
    <oddFooter>&amp;L&amp;F&amp;A&amp;RPrinted:  &amp;D</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tabColor theme="9" tint="0.39997558519241921"/>
    <pageSetUpPr fitToPage="1"/>
  </sheetPr>
  <dimension ref="A1:D19"/>
  <sheetViews>
    <sheetView showGridLines="0" zoomScale="80" zoomScaleNormal="80" workbookViewId="0">
      <selection activeCell="G20" sqref="G20"/>
    </sheetView>
  </sheetViews>
  <sheetFormatPr defaultColWidth="9.08984375" defaultRowHeight="13"/>
  <cols>
    <col min="1" max="1" width="2.90625" style="3" customWidth="1"/>
    <col min="2" max="2" width="43.08984375" style="3" customWidth="1"/>
    <col min="3" max="3" width="11.6328125" style="5" customWidth="1"/>
    <col min="4" max="4" width="92.6328125" style="3" customWidth="1"/>
    <col min="5" max="16384" width="9.08984375" style="3"/>
  </cols>
  <sheetData>
    <row r="1" spans="1:4" ht="50.25" customHeight="1">
      <c r="A1" s="39"/>
      <c r="B1" s="330" t="s">
        <v>347</v>
      </c>
      <c r="C1" s="331"/>
      <c r="D1" s="332"/>
    </row>
    <row r="2" spans="1:4" s="6" customFormat="1" ht="24.65" customHeight="1">
      <c r="A2" s="10"/>
      <c r="B2" s="110" t="s">
        <v>0</v>
      </c>
      <c r="C2" s="74"/>
      <c r="D2" s="181" t="s">
        <v>1</v>
      </c>
    </row>
    <row r="3" spans="1:4" s="6" customFormat="1" ht="24.65" customHeight="1">
      <c r="A3" s="10"/>
      <c r="B3" s="112" t="s">
        <v>111</v>
      </c>
      <c r="C3" s="97">
        <v>0.05</v>
      </c>
      <c r="D3" s="158" t="s">
        <v>411</v>
      </c>
    </row>
    <row r="4" spans="1:4" s="6" customFormat="1" ht="24.65" customHeight="1">
      <c r="A4" s="10"/>
      <c r="B4" s="113" t="s">
        <v>36</v>
      </c>
      <c r="C4" s="97">
        <v>2</v>
      </c>
      <c r="D4" s="158"/>
    </row>
    <row r="5" spans="1:4" s="6" customFormat="1" ht="24.65" customHeight="1">
      <c r="A5" s="10"/>
      <c r="B5" s="113" t="s">
        <v>94</v>
      </c>
      <c r="C5" s="98">
        <v>0.8</v>
      </c>
      <c r="D5" s="158" t="s">
        <v>91</v>
      </c>
    </row>
    <row r="6" spans="1:4" s="6" customFormat="1" ht="24.65" customHeight="1">
      <c r="A6" s="10"/>
      <c r="B6" s="114" t="s">
        <v>50</v>
      </c>
      <c r="C6" s="144">
        <v>0.1</v>
      </c>
      <c r="D6" s="127" t="s">
        <v>462</v>
      </c>
    </row>
    <row r="7" spans="1:4" s="8" customFormat="1" ht="24.65" customHeight="1">
      <c r="A7" s="67"/>
      <c r="B7" s="113" t="s">
        <v>10</v>
      </c>
      <c r="C7" s="144">
        <v>0.5</v>
      </c>
      <c r="D7" s="129" t="s">
        <v>268</v>
      </c>
    </row>
    <row r="8" spans="1:4" s="6" customFormat="1" ht="24.65" customHeight="1">
      <c r="A8" s="10"/>
      <c r="B8" s="114" t="s">
        <v>2</v>
      </c>
      <c r="C8" s="144">
        <v>0.5</v>
      </c>
      <c r="D8" s="127" t="s">
        <v>463</v>
      </c>
    </row>
    <row r="9" spans="1:4" s="6" customFormat="1" ht="24.65" customHeight="1">
      <c r="A9" s="10"/>
      <c r="B9" s="114" t="s">
        <v>51</v>
      </c>
      <c r="C9" s="144">
        <v>0.5</v>
      </c>
      <c r="D9" s="127" t="s">
        <v>424</v>
      </c>
    </row>
    <row r="10" spans="1:4" s="8" customFormat="1" ht="24.65" customHeight="1">
      <c r="A10" s="67"/>
      <c r="B10" s="113" t="s">
        <v>52</v>
      </c>
      <c r="C10" s="153">
        <v>1</v>
      </c>
      <c r="D10" s="127" t="s">
        <v>245</v>
      </c>
    </row>
    <row r="11" spans="1:4" s="8" customFormat="1" ht="24.65" customHeight="1">
      <c r="A11" s="67"/>
      <c r="B11" s="113" t="s">
        <v>39</v>
      </c>
      <c r="C11" s="154">
        <v>20</v>
      </c>
      <c r="D11" s="129" t="s">
        <v>41</v>
      </c>
    </row>
    <row r="12" spans="1:4" s="6" customFormat="1" ht="24.65" customHeight="1">
      <c r="A12" s="10"/>
      <c r="B12" s="111" t="s">
        <v>40</v>
      </c>
      <c r="C12" s="154">
        <v>44</v>
      </c>
      <c r="D12" s="129" t="s">
        <v>42</v>
      </c>
    </row>
    <row r="13" spans="1:4" s="6" customFormat="1" ht="24.65" customHeight="1">
      <c r="A13" s="10"/>
      <c r="B13" s="111" t="s">
        <v>28</v>
      </c>
      <c r="C13" s="179">
        <v>5</v>
      </c>
      <c r="D13" s="182" t="s">
        <v>244</v>
      </c>
    </row>
    <row r="14" spans="1:4" s="6" customFormat="1" ht="24.65" customHeight="1">
      <c r="A14" s="10"/>
      <c r="B14" s="113" t="s">
        <v>3</v>
      </c>
      <c r="C14" s="78">
        <f>IF(C5&gt;=0.5,(C15+C16),(C15-C16))</f>
        <v>2.8147238901759364</v>
      </c>
      <c r="D14" s="167" t="s">
        <v>24</v>
      </c>
    </row>
    <row r="15" spans="1:4" s="6" customFormat="1" ht="24.65" customHeight="1">
      <c r="A15" s="10"/>
      <c r="B15" s="112" t="s">
        <v>229</v>
      </c>
      <c r="C15" s="78">
        <f>IF(C4=2,TINV(C3,C13*(C12-2)-C10),TINV(C3*2,C13*(C12-2)-C10))</f>
        <v>1.971379461547548</v>
      </c>
      <c r="D15" s="167" t="s">
        <v>223</v>
      </c>
    </row>
    <row r="16" spans="1:4" s="6" customFormat="1" ht="24.65" customHeight="1">
      <c r="A16" s="10"/>
      <c r="B16" s="112" t="s">
        <v>230</v>
      </c>
      <c r="C16" s="78">
        <f>IF(C5&gt;=0.5,TINV((1-C5)*2,C13*(C12-2)-C10),TINV(C5*2,C13*(C12-2)-C10))</f>
        <v>0.84334442862838843</v>
      </c>
      <c r="D16" s="167" t="s">
        <v>224</v>
      </c>
    </row>
    <row r="17" spans="1:4" s="175" customFormat="1" ht="24.65" customHeight="1" thickBot="1">
      <c r="A17" s="10"/>
      <c r="B17" s="195" t="s">
        <v>6</v>
      </c>
      <c r="C17" s="196">
        <f>$C$14*SQRT($C$6*(1-$C$9)/(C7*(1-C7)*$C$12*$C$13)+(1-$C$6)*(1-$C$8)/(C7*(1-C7)*$C$12*$C$11*$C$13))</f>
        <v>0.10219354337367707</v>
      </c>
      <c r="D17" s="197" t="s">
        <v>7</v>
      </c>
    </row>
    <row r="18" spans="1:4" ht="18">
      <c r="A18" s="39"/>
      <c r="B18" s="39"/>
      <c r="C18" s="61"/>
      <c r="D18" s="39"/>
    </row>
    <row r="19" spans="1:4" ht="18">
      <c r="A19" s="39"/>
      <c r="B19" s="38" t="s">
        <v>32</v>
      </c>
      <c r="C19" s="65"/>
      <c r="D19" s="38"/>
    </row>
  </sheetData>
  <mergeCells count="1">
    <mergeCell ref="B1:D1"/>
  </mergeCells>
  <phoneticPr fontId="15" type="noConversion"/>
  <printOptions horizontalCentered="1"/>
  <pageMargins left="1" right="1" top="1" bottom="1" header="0.5" footer="0.5"/>
  <pageSetup scale="54" fitToHeight="6" orientation="portrait" horizontalDpi="4294967293" r:id="rId1"/>
  <headerFooter>
    <oddFooter>&amp;L&amp;F&amp;A&amp;RPrinted:   &amp;D</oddFooter>
  </headerFooter>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9" tint="0.39997558519241921"/>
    <pageSetUpPr fitToPage="1"/>
  </sheetPr>
  <dimension ref="A1:D22"/>
  <sheetViews>
    <sheetView showGridLines="0" zoomScale="80" zoomScaleNormal="80" workbookViewId="0">
      <selection activeCell="I12" sqref="I12"/>
    </sheetView>
  </sheetViews>
  <sheetFormatPr defaultColWidth="9.08984375" defaultRowHeight="13"/>
  <cols>
    <col min="1" max="1" width="1.90625" style="3" customWidth="1"/>
    <col min="2" max="2" width="44" style="3" customWidth="1"/>
    <col min="3" max="3" width="11.6328125" style="5" customWidth="1"/>
    <col min="4" max="4" width="90.54296875" style="3" customWidth="1"/>
    <col min="5" max="16384" width="9.08984375" style="3"/>
  </cols>
  <sheetData>
    <row r="1" spans="1:4" s="6" customFormat="1" ht="48" customHeight="1">
      <c r="A1" s="10"/>
      <c r="B1" s="330" t="s">
        <v>348</v>
      </c>
      <c r="C1" s="331"/>
      <c r="D1" s="332"/>
    </row>
    <row r="2" spans="1:4" ht="23.4" customHeight="1">
      <c r="A2" s="39"/>
      <c r="B2" s="117" t="s">
        <v>0</v>
      </c>
      <c r="C2" s="41"/>
      <c r="D2" s="189" t="s">
        <v>1</v>
      </c>
    </row>
    <row r="3" spans="1:4" ht="23.4" customHeight="1">
      <c r="A3" s="39"/>
      <c r="B3" s="119" t="s">
        <v>111</v>
      </c>
      <c r="C3" s="104">
        <v>0.05</v>
      </c>
      <c r="D3" s="170" t="s">
        <v>411</v>
      </c>
    </row>
    <row r="4" spans="1:4" ht="23.4" customHeight="1">
      <c r="A4" s="39"/>
      <c r="B4" s="120" t="s">
        <v>36</v>
      </c>
      <c r="C4" s="104">
        <v>2</v>
      </c>
      <c r="D4" s="198"/>
    </row>
    <row r="5" spans="1:4" ht="23.4" customHeight="1">
      <c r="A5" s="39"/>
      <c r="B5" s="120" t="s">
        <v>94</v>
      </c>
      <c r="C5" s="105">
        <v>0.8</v>
      </c>
      <c r="D5" s="170" t="s">
        <v>264</v>
      </c>
    </row>
    <row r="6" spans="1:4" ht="23.4" customHeight="1">
      <c r="A6" s="39"/>
      <c r="B6" s="190" t="s">
        <v>18</v>
      </c>
      <c r="C6" s="143">
        <v>0.38</v>
      </c>
      <c r="D6" s="184" t="s">
        <v>451</v>
      </c>
    </row>
    <row r="7" spans="1:4" ht="23.4" customHeight="1">
      <c r="A7" s="39"/>
      <c r="B7" s="190" t="s">
        <v>50</v>
      </c>
      <c r="C7" s="143">
        <v>0.1</v>
      </c>
      <c r="D7" s="184" t="s">
        <v>446</v>
      </c>
    </row>
    <row r="8" spans="1:4" ht="23.4" customHeight="1">
      <c r="A8" s="39"/>
      <c r="B8" s="123"/>
      <c r="C8" s="143">
        <v>0.5</v>
      </c>
      <c r="D8" s="184" t="s">
        <v>405</v>
      </c>
    </row>
    <row r="9" spans="1:4" s="1" customFormat="1" ht="23.4" customHeight="1">
      <c r="A9" s="64"/>
      <c r="B9" s="120" t="s">
        <v>10</v>
      </c>
      <c r="C9" s="143">
        <v>0.5</v>
      </c>
      <c r="D9" s="185" t="s">
        <v>254</v>
      </c>
    </row>
    <row r="10" spans="1:4" ht="23.4" customHeight="1">
      <c r="A10" s="39"/>
      <c r="B10" s="114" t="s">
        <v>2</v>
      </c>
      <c r="C10" s="143">
        <v>0.37</v>
      </c>
      <c r="D10" s="184" t="s">
        <v>438</v>
      </c>
    </row>
    <row r="11" spans="1:4" ht="23.4" customHeight="1">
      <c r="A11" s="39"/>
      <c r="B11" s="114" t="s">
        <v>51</v>
      </c>
      <c r="C11" s="143">
        <v>0.53</v>
      </c>
      <c r="D11" s="184" t="s">
        <v>464</v>
      </c>
    </row>
    <row r="12" spans="1:4" ht="23.4" customHeight="1">
      <c r="A12" s="39"/>
      <c r="B12" s="122" t="s">
        <v>270</v>
      </c>
      <c r="C12" s="143">
        <v>0</v>
      </c>
      <c r="D12" s="184" t="s">
        <v>269</v>
      </c>
    </row>
    <row r="13" spans="1:4" ht="23.4" customHeight="1">
      <c r="A13" s="39"/>
      <c r="B13" s="120" t="s">
        <v>19</v>
      </c>
      <c r="C13" s="145">
        <v>0</v>
      </c>
      <c r="D13" s="184" t="s">
        <v>265</v>
      </c>
    </row>
    <row r="14" spans="1:4" ht="23.4" customHeight="1">
      <c r="A14" s="39"/>
      <c r="B14" s="120" t="s">
        <v>39</v>
      </c>
      <c r="C14" s="146">
        <v>20</v>
      </c>
      <c r="D14" s="129" t="s">
        <v>41</v>
      </c>
    </row>
    <row r="15" spans="1:4" ht="23.4" customHeight="1">
      <c r="A15" s="39"/>
      <c r="B15" s="118" t="s">
        <v>40</v>
      </c>
      <c r="C15" s="146">
        <v>2</v>
      </c>
      <c r="D15" s="129" t="s">
        <v>42</v>
      </c>
    </row>
    <row r="16" spans="1:4" ht="23.4" customHeight="1">
      <c r="A16" s="39"/>
      <c r="B16" s="118" t="s">
        <v>28</v>
      </c>
      <c r="C16" s="188">
        <v>64</v>
      </c>
      <c r="D16" s="191" t="s">
        <v>244</v>
      </c>
    </row>
    <row r="17" spans="1:4" ht="23.4" customHeight="1">
      <c r="A17" s="39"/>
      <c r="B17" s="148" t="s">
        <v>3</v>
      </c>
      <c r="C17" s="72">
        <f>IF(C5&gt;=0.5,(C18+C19),(C18-C19))</f>
        <v>2.8457044547963868</v>
      </c>
      <c r="D17" s="171" t="s">
        <v>24</v>
      </c>
    </row>
    <row r="18" spans="1:4" ht="23.4" customHeight="1">
      <c r="A18" s="39"/>
      <c r="B18" s="147" t="s">
        <v>229</v>
      </c>
      <c r="C18" s="72">
        <f>IF(C4=2,TINV(C3,C16-C13-1),TINV(C3*2,C16-C13-1))</f>
        <v>1.9983405425207412</v>
      </c>
      <c r="D18" s="171" t="s">
        <v>223</v>
      </c>
    </row>
    <row r="19" spans="1:4" ht="23.4" customHeight="1">
      <c r="A19" s="39"/>
      <c r="B19" s="147" t="s">
        <v>230</v>
      </c>
      <c r="C19" s="72">
        <f>IF(C5&gt;=0.5,TINV((1-C5)*2,C16-C13-1),TINV(C5*2,C16-C13-1))</f>
        <v>0.84736391227564545</v>
      </c>
      <c r="D19" s="171" t="s">
        <v>224</v>
      </c>
    </row>
    <row r="20" spans="1:4" s="4" customFormat="1" ht="23.4" customHeight="1" thickBot="1">
      <c r="A20" s="39"/>
      <c r="B20" s="192" t="s">
        <v>15</v>
      </c>
      <c r="C20" s="193">
        <f>$C$17*SQRT($C$6*$C$8*(1-$C$12)/$C$16+$C$7*(1-$C$11)/(C9*(1-C9)*$C$15*$C$16)+(1-$C$7-$C$6)*(1-$C$10)/(C9*(1-C9)*$C$15*$C$14*$C$16))</f>
        <v>0.2002004152265551</v>
      </c>
      <c r="D20" s="194" t="s">
        <v>16</v>
      </c>
    </row>
    <row r="21" spans="1:4" ht="18">
      <c r="A21" s="39"/>
      <c r="B21" s="39"/>
      <c r="C21" s="61"/>
      <c r="D21" s="39"/>
    </row>
    <row r="22" spans="1:4" ht="18">
      <c r="A22" s="39"/>
      <c r="B22" s="317" t="s">
        <v>32</v>
      </c>
      <c r="C22" s="317"/>
      <c r="D22" s="317"/>
    </row>
  </sheetData>
  <mergeCells count="2">
    <mergeCell ref="B1:D1"/>
    <mergeCell ref="B22:D22"/>
  </mergeCells>
  <phoneticPr fontId="0" type="noConversion"/>
  <printOptions horizontalCentered="1"/>
  <pageMargins left="1" right="1" top="1" bottom="1" header="0.5" footer="0.5"/>
  <pageSetup scale="52" fitToHeight="6" orientation="portrait" horizontalDpi="4294967293" r:id="rId1"/>
  <headerFooter>
    <oddFooter>&amp;L&amp;F&amp;A&amp;RPrinted:  &amp;D</oddFooter>
  </headerFooter>
  <drawing r:id="rId2"/>
  <legacyDrawing r:id="rId3"/>
  <oleObjects>
    <mc:AlternateContent xmlns:mc="http://schemas.openxmlformats.org/markup-compatibility/2006">
      <mc:Choice Requires="x14">
        <oleObject progId="Equation.3" shapeId="1026" r:id="rId4">
          <objectPr defaultSize="0" autoPict="0" r:id="rId5">
            <anchor moveWithCells="1">
              <from>
                <xdr:col>1</xdr:col>
                <xdr:colOff>31750</xdr:colOff>
                <xdr:row>7</xdr:row>
                <xdr:rowOff>0</xdr:rowOff>
              </from>
              <to>
                <xdr:col>1</xdr:col>
                <xdr:colOff>444500</xdr:colOff>
                <xdr:row>7</xdr:row>
                <xdr:rowOff>279400</xdr:rowOff>
              </to>
            </anchor>
          </objectPr>
        </oleObject>
      </mc:Choice>
      <mc:Fallback>
        <oleObject progId="Equation.3" shapeId="1026" r:id="rId4"/>
      </mc:Fallback>
    </mc:AlternateContent>
    <mc:AlternateContent xmlns:mc="http://schemas.openxmlformats.org/markup-compatibility/2006">
      <mc:Choice Requires="x14">
        <oleObject progId="Equation.3" shapeId="1186" r:id="rId6">
          <objectPr defaultSize="0" autoPict="0" r:id="rId7">
            <anchor moveWithCells="1" sizeWithCells="1">
              <from>
                <xdr:col>3</xdr:col>
                <xdr:colOff>482600</xdr:colOff>
                <xdr:row>4</xdr:row>
                <xdr:rowOff>25400</xdr:rowOff>
              </from>
              <to>
                <xdr:col>3</xdr:col>
                <xdr:colOff>482600</xdr:colOff>
                <xdr:row>4</xdr:row>
                <xdr:rowOff>158750</xdr:rowOff>
              </to>
            </anchor>
          </objectPr>
        </oleObject>
      </mc:Choice>
      <mc:Fallback>
        <oleObject progId="Equation.3" shapeId="1186"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9" tint="0.39997558519241921"/>
    <pageSetUpPr fitToPage="1"/>
  </sheetPr>
  <dimension ref="B1:D26"/>
  <sheetViews>
    <sheetView showGridLines="0" zoomScale="80" zoomScaleNormal="80" workbookViewId="0">
      <selection activeCell="H14" sqref="H14"/>
    </sheetView>
  </sheetViews>
  <sheetFormatPr defaultColWidth="9.08984375" defaultRowHeight="18"/>
  <cols>
    <col min="1" max="1" width="2.90625" style="39" customWidth="1"/>
    <col min="2" max="2" width="44.453125" style="39" customWidth="1"/>
    <col min="3" max="3" width="9.54296875" style="61" customWidth="1"/>
    <col min="4" max="4" width="96" style="10" customWidth="1"/>
    <col min="5" max="16384" width="9.08984375" style="39"/>
  </cols>
  <sheetData>
    <row r="1" spans="2:4" ht="28.25" customHeight="1">
      <c r="B1" s="330" t="s">
        <v>349</v>
      </c>
      <c r="C1" s="331"/>
      <c r="D1" s="332"/>
    </row>
    <row r="2" spans="2:4" s="10" customFormat="1" ht="19.25" customHeight="1">
      <c r="B2" s="110" t="s">
        <v>0</v>
      </c>
      <c r="C2" s="178"/>
      <c r="D2" s="181" t="s">
        <v>1</v>
      </c>
    </row>
    <row r="3" spans="2:4" s="10" customFormat="1" ht="19.25" customHeight="1">
      <c r="B3" s="112" t="s">
        <v>111</v>
      </c>
      <c r="C3" s="97">
        <v>0.05</v>
      </c>
      <c r="D3" s="158" t="s">
        <v>411</v>
      </c>
    </row>
    <row r="4" spans="2:4" s="10" customFormat="1" ht="19.25" customHeight="1">
      <c r="B4" s="113" t="s">
        <v>36</v>
      </c>
      <c r="C4" s="97">
        <v>2</v>
      </c>
      <c r="D4" s="164"/>
    </row>
    <row r="5" spans="2:4" s="10" customFormat="1" ht="19.25" customHeight="1">
      <c r="B5" s="113" t="s">
        <v>94</v>
      </c>
      <c r="C5" s="98">
        <v>0.8</v>
      </c>
      <c r="D5" s="158" t="s">
        <v>91</v>
      </c>
    </row>
    <row r="6" spans="2:4" s="67" customFormat="1" ht="19.25" customHeight="1">
      <c r="B6" s="114" t="s">
        <v>22</v>
      </c>
      <c r="C6" s="144">
        <v>0.05</v>
      </c>
      <c r="D6" s="127" t="s">
        <v>465</v>
      </c>
    </row>
    <row r="7" spans="2:4" s="67" customFormat="1" ht="19.25" customHeight="1">
      <c r="B7" s="114" t="s">
        <v>18</v>
      </c>
      <c r="C7" s="144">
        <v>0.15</v>
      </c>
      <c r="D7" s="127" t="s">
        <v>466</v>
      </c>
    </row>
    <row r="8" spans="2:4" s="67" customFormat="1" ht="19.25" customHeight="1">
      <c r="B8" s="114" t="s">
        <v>50</v>
      </c>
      <c r="C8" s="144">
        <v>0.15</v>
      </c>
      <c r="D8" s="127" t="s">
        <v>457</v>
      </c>
    </row>
    <row r="9" spans="2:4" s="67" customFormat="1" ht="40.5" customHeight="1">
      <c r="B9" s="114"/>
      <c r="C9" s="144">
        <v>0.5</v>
      </c>
      <c r="D9" s="127" t="s">
        <v>247</v>
      </c>
    </row>
    <row r="10" spans="2:4" s="67" customFormat="1" ht="36.75" customHeight="1">
      <c r="B10" s="114"/>
      <c r="C10" s="144">
        <v>0.5</v>
      </c>
      <c r="D10" s="127" t="s">
        <v>246</v>
      </c>
    </row>
    <row r="11" spans="2:4" s="67" customFormat="1" ht="19.25" customHeight="1">
      <c r="B11" s="113" t="s">
        <v>10</v>
      </c>
      <c r="C11" s="144">
        <v>0.5</v>
      </c>
      <c r="D11" s="129" t="s">
        <v>248</v>
      </c>
    </row>
    <row r="12" spans="2:4" s="67" customFormat="1" ht="19.25" customHeight="1">
      <c r="B12" s="114" t="s">
        <v>2</v>
      </c>
      <c r="C12" s="144">
        <v>0.5</v>
      </c>
      <c r="D12" s="127" t="s">
        <v>467</v>
      </c>
    </row>
    <row r="13" spans="2:4" s="67" customFormat="1" ht="19.25" customHeight="1">
      <c r="B13" s="114" t="s">
        <v>51</v>
      </c>
      <c r="C13" s="144">
        <v>0.5</v>
      </c>
      <c r="D13" s="127" t="s">
        <v>468</v>
      </c>
    </row>
    <row r="14" spans="2:4" s="67" customFormat="1" ht="36">
      <c r="B14" s="114" t="s">
        <v>116</v>
      </c>
      <c r="C14" s="144">
        <v>0.5</v>
      </c>
      <c r="D14" s="127" t="s">
        <v>272</v>
      </c>
    </row>
    <row r="15" spans="2:4" s="67" customFormat="1" ht="36">
      <c r="B15" s="114" t="s">
        <v>117</v>
      </c>
      <c r="C15" s="144">
        <v>0.5</v>
      </c>
      <c r="D15" s="127" t="s">
        <v>271</v>
      </c>
    </row>
    <row r="16" spans="2:4" s="67" customFormat="1" ht="19.25" customHeight="1">
      <c r="B16" s="113" t="s">
        <v>21</v>
      </c>
      <c r="C16" s="153">
        <v>1</v>
      </c>
      <c r="D16" s="127" t="s">
        <v>249</v>
      </c>
    </row>
    <row r="17" spans="2:4" s="10" customFormat="1" ht="19.25" customHeight="1">
      <c r="B17" s="113" t="s">
        <v>39</v>
      </c>
      <c r="C17" s="154">
        <v>10</v>
      </c>
      <c r="D17" s="129" t="s">
        <v>41</v>
      </c>
    </row>
    <row r="18" spans="2:4" s="10" customFormat="1" ht="19.25" customHeight="1">
      <c r="B18" s="111" t="s">
        <v>40</v>
      </c>
      <c r="C18" s="154">
        <v>4</v>
      </c>
      <c r="D18" s="129" t="s">
        <v>42</v>
      </c>
    </row>
    <row r="19" spans="2:4" s="10" customFormat="1" ht="19.25" customHeight="1">
      <c r="B19" s="111" t="s">
        <v>44</v>
      </c>
      <c r="C19" s="154">
        <v>4</v>
      </c>
      <c r="D19" s="129" t="s">
        <v>43</v>
      </c>
    </row>
    <row r="20" spans="2:4" s="10" customFormat="1" ht="19.25" customHeight="1">
      <c r="B20" s="111" t="s">
        <v>30</v>
      </c>
      <c r="C20" s="179">
        <v>20</v>
      </c>
      <c r="D20" s="182" t="s">
        <v>233</v>
      </c>
    </row>
    <row r="21" spans="2:4" s="10" customFormat="1" ht="19.25" customHeight="1">
      <c r="B21" s="152" t="s">
        <v>3</v>
      </c>
      <c r="C21" s="78">
        <f>IF(C5&gt;=0.5,(C22+C23),(C22-C23))</f>
        <v>2.9629707082306362</v>
      </c>
      <c r="D21" s="161" t="s">
        <v>24</v>
      </c>
    </row>
    <row r="22" spans="2:4" s="10" customFormat="1" ht="19.25" customHeight="1">
      <c r="B22" s="141" t="s">
        <v>229</v>
      </c>
      <c r="C22" s="78">
        <f>IF(C4=2,TINV(C3,C20-C16-1),TINV(C3*2,C20-C16-1))</f>
        <v>2.1009220402410378</v>
      </c>
      <c r="D22" s="161" t="s">
        <v>223</v>
      </c>
    </row>
    <row r="23" spans="2:4" s="10" customFormat="1" ht="19.25" customHeight="1">
      <c r="B23" s="141" t="s">
        <v>230</v>
      </c>
      <c r="C23" s="78">
        <f>IF(C5&gt;=0.5,TINV((1-C5)*2,C20-C16-1),TINV(C5*2,C20-C16-1))</f>
        <v>0.86204866798959834</v>
      </c>
      <c r="D23" s="161" t="s">
        <v>224</v>
      </c>
    </row>
    <row r="24" spans="2:4" s="10" customFormat="1" ht="19.25" customHeight="1" thickBot="1">
      <c r="B24" s="195" t="s">
        <v>6</v>
      </c>
      <c r="C24" s="196">
        <f>$C$21*SQRT($C$6*C9*(1-$C$15)/$C$20+$C$7*C10*(1-$C$14)/($C$20*C19)+$C$8*(1-$C$13)/(C11*(1-C11)*$C$18*$C$19*C20)+(1-$C$8-C7-$C$6)*(1-$C$12)/(C11*(1-C11)*$C$18*$C$17*$C$19*C20))</f>
        <v>0.14628495763737071</v>
      </c>
      <c r="D24" s="197" t="s">
        <v>7</v>
      </c>
    </row>
    <row r="26" spans="2:4">
      <c r="B26" s="38" t="s">
        <v>32</v>
      </c>
      <c r="C26" s="65"/>
      <c r="D26" s="66"/>
    </row>
  </sheetData>
  <mergeCells count="1">
    <mergeCell ref="B1:D1"/>
  </mergeCells>
  <phoneticPr fontId="15" type="noConversion"/>
  <printOptions horizontalCentered="1"/>
  <pageMargins left="1" right="1" top="1" bottom="1" header="0.5" footer="0.5"/>
  <pageSetup scale="48" fitToHeight="6" orientation="portrait" horizontalDpi="4294967293" r:id="rId1"/>
  <headerFooter>
    <oddFooter>&amp;L&amp;F&amp;A&amp;RPrinted:  &amp;D</oddFooter>
  </headerFooter>
  <drawing r:id="rId2"/>
  <legacyDrawing r:id="rId3"/>
  <oleObjects>
    <mc:AlternateContent xmlns:mc="http://schemas.openxmlformats.org/markup-compatibility/2006">
      <mc:Choice Requires="x14">
        <oleObject progId="Equation.3" shapeId="11265" r:id="rId4">
          <objectPr defaultSize="0" autoPict="0" r:id="rId5">
            <anchor moveWithCells="1">
              <from>
                <xdr:col>1</xdr:col>
                <xdr:colOff>120650</xdr:colOff>
                <xdr:row>8</xdr:row>
                <xdr:rowOff>139700</xdr:rowOff>
              </from>
              <to>
                <xdr:col>1</xdr:col>
                <xdr:colOff>495300</xdr:colOff>
                <xdr:row>8</xdr:row>
                <xdr:rowOff>406400</xdr:rowOff>
              </to>
            </anchor>
          </objectPr>
        </oleObject>
      </mc:Choice>
      <mc:Fallback>
        <oleObject progId="Equation.3" shapeId="11265" r:id="rId4"/>
      </mc:Fallback>
    </mc:AlternateContent>
    <mc:AlternateContent xmlns:mc="http://schemas.openxmlformats.org/markup-compatibility/2006">
      <mc:Choice Requires="x14">
        <oleObject progId="Equation.3" shapeId="11266" r:id="rId6">
          <objectPr defaultSize="0" autoPict="0" r:id="rId7">
            <anchor moveWithCells="1">
              <from>
                <xdr:col>1</xdr:col>
                <xdr:colOff>107950</xdr:colOff>
                <xdr:row>9</xdr:row>
                <xdr:rowOff>107950</xdr:rowOff>
              </from>
              <to>
                <xdr:col>1</xdr:col>
                <xdr:colOff>558800</xdr:colOff>
                <xdr:row>9</xdr:row>
                <xdr:rowOff>425450</xdr:rowOff>
              </to>
            </anchor>
          </objectPr>
        </oleObject>
      </mc:Choice>
      <mc:Fallback>
        <oleObject progId="Equation.3" shapeId="11266" r:id="rId6"/>
      </mc:Fallback>
    </mc:AlternateContent>
    <mc:AlternateContent xmlns:mc="http://schemas.openxmlformats.org/markup-compatibility/2006">
      <mc:Choice Requires="x14">
        <oleObject progId="Equation.3" shapeId="11267" r:id="rId8">
          <objectPr defaultSize="0" autoPict="0" r:id="rId9">
            <anchor moveWithCells="1" sizeWithCells="1">
              <from>
                <xdr:col>3</xdr:col>
                <xdr:colOff>349250</xdr:colOff>
                <xdr:row>4</xdr:row>
                <xdr:rowOff>82550</xdr:rowOff>
              </from>
              <to>
                <xdr:col>3</xdr:col>
                <xdr:colOff>349250</xdr:colOff>
                <xdr:row>5</xdr:row>
                <xdr:rowOff>6350</xdr:rowOff>
              </to>
            </anchor>
          </objectPr>
        </oleObject>
      </mc:Choice>
      <mc:Fallback>
        <oleObject progId="Equation.3" shapeId="11267" r:id="rId8"/>
      </mc:Fallback>
    </mc:AlternateContent>
    <mc:AlternateContent xmlns:mc="http://schemas.openxmlformats.org/markup-compatibility/2006">
      <mc:Choice Requires="x14">
        <oleObject progId="Equation.3" shapeId="11268" r:id="rId10">
          <objectPr defaultSize="0" autoPict="0" r:id="rId9">
            <anchor moveWithCells="1" sizeWithCells="1">
              <from>
                <xdr:col>3</xdr:col>
                <xdr:colOff>349250</xdr:colOff>
                <xdr:row>4</xdr:row>
                <xdr:rowOff>82550</xdr:rowOff>
              </from>
              <to>
                <xdr:col>3</xdr:col>
                <xdr:colOff>349250</xdr:colOff>
                <xdr:row>5</xdr:row>
                <xdr:rowOff>6350</xdr:rowOff>
              </to>
            </anchor>
          </objectPr>
        </oleObject>
      </mc:Choice>
      <mc:Fallback>
        <oleObject progId="Equation.3" shapeId="11268" r:id="rId10"/>
      </mc:Fallback>
    </mc:AlternateContent>
    <mc:AlternateContent xmlns:mc="http://schemas.openxmlformats.org/markup-compatibility/2006">
      <mc:Choice Requires="x14">
        <oleObject progId="Equation.3" shapeId="11269" r:id="rId11">
          <objectPr defaultSize="0" autoPict="0" r:id="rId9">
            <anchor moveWithCells="1" sizeWithCells="1">
              <from>
                <xdr:col>3</xdr:col>
                <xdr:colOff>349250</xdr:colOff>
                <xdr:row>4</xdr:row>
                <xdr:rowOff>82550</xdr:rowOff>
              </from>
              <to>
                <xdr:col>3</xdr:col>
                <xdr:colOff>349250</xdr:colOff>
                <xdr:row>5</xdr:row>
                <xdr:rowOff>6350</xdr:rowOff>
              </to>
            </anchor>
          </objectPr>
        </oleObject>
      </mc:Choice>
      <mc:Fallback>
        <oleObject progId="Equation.3" shapeId="11269" r:id="rId11"/>
      </mc:Fallback>
    </mc:AlternateContent>
    <mc:AlternateContent xmlns:mc="http://schemas.openxmlformats.org/markup-compatibility/2006">
      <mc:Choice Requires="x14">
        <oleObject progId="Equation.3" shapeId="11270" r:id="rId12">
          <objectPr defaultSize="0" autoPict="0" r:id="rId9">
            <anchor moveWithCells="1" sizeWithCells="1">
              <from>
                <xdr:col>3</xdr:col>
                <xdr:colOff>349250</xdr:colOff>
                <xdr:row>4</xdr:row>
                <xdr:rowOff>82550</xdr:rowOff>
              </from>
              <to>
                <xdr:col>3</xdr:col>
                <xdr:colOff>349250</xdr:colOff>
                <xdr:row>5</xdr:row>
                <xdr:rowOff>6350</xdr:rowOff>
              </to>
            </anchor>
          </objectPr>
        </oleObject>
      </mc:Choice>
      <mc:Fallback>
        <oleObject progId="Equation.3" shapeId="11270" r:id="rId12"/>
      </mc:Fallback>
    </mc:AlternateContent>
    <mc:AlternateContent xmlns:mc="http://schemas.openxmlformats.org/markup-compatibility/2006">
      <mc:Choice Requires="x14">
        <oleObject progId="Equation.3" shapeId="11271" r:id="rId13">
          <objectPr defaultSize="0" autoPict="0" r:id="rId9">
            <anchor moveWithCells="1" sizeWithCells="1">
              <from>
                <xdr:col>3</xdr:col>
                <xdr:colOff>349250</xdr:colOff>
                <xdr:row>5</xdr:row>
                <xdr:rowOff>107950</xdr:rowOff>
              </from>
              <to>
                <xdr:col>3</xdr:col>
                <xdr:colOff>349250</xdr:colOff>
                <xdr:row>5</xdr:row>
                <xdr:rowOff>254000</xdr:rowOff>
              </to>
            </anchor>
          </objectPr>
        </oleObject>
      </mc:Choice>
      <mc:Fallback>
        <oleObject progId="Equation.3" shapeId="11271" r:id="rId13"/>
      </mc:Fallback>
    </mc:AlternateContent>
    <mc:AlternateContent xmlns:mc="http://schemas.openxmlformats.org/markup-compatibility/2006">
      <mc:Choice Requires="x14">
        <oleObject progId="Equation.3" shapeId="11272" r:id="rId14">
          <objectPr defaultSize="0" autoPict="0" r:id="rId9">
            <anchor moveWithCells="1" sizeWithCells="1">
              <from>
                <xdr:col>3</xdr:col>
                <xdr:colOff>349250</xdr:colOff>
                <xdr:row>5</xdr:row>
                <xdr:rowOff>107950</xdr:rowOff>
              </from>
              <to>
                <xdr:col>3</xdr:col>
                <xdr:colOff>349250</xdr:colOff>
                <xdr:row>5</xdr:row>
                <xdr:rowOff>254000</xdr:rowOff>
              </to>
            </anchor>
          </objectPr>
        </oleObject>
      </mc:Choice>
      <mc:Fallback>
        <oleObject progId="Equation.3" shapeId="11272" r:id="rId14"/>
      </mc:Fallback>
    </mc:AlternateContent>
    <mc:AlternateContent xmlns:mc="http://schemas.openxmlformats.org/markup-compatibility/2006">
      <mc:Choice Requires="x14">
        <oleObject progId="Equation.3" shapeId="11273" r:id="rId15">
          <objectPr defaultSize="0" autoPict="0" r:id="rId9">
            <anchor moveWithCells="1" sizeWithCells="1">
              <from>
                <xdr:col>3</xdr:col>
                <xdr:colOff>349250</xdr:colOff>
                <xdr:row>5</xdr:row>
                <xdr:rowOff>107950</xdr:rowOff>
              </from>
              <to>
                <xdr:col>3</xdr:col>
                <xdr:colOff>349250</xdr:colOff>
                <xdr:row>5</xdr:row>
                <xdr:rowOff>254000</xdr:rowOff>
              </to>
            </anchor>
          </objectPr>
        </oleObject>
      </mc:Choice>
      <mc:Fallback>
        <oleObject progId="Equation.3" shapeId="11273" r:id="rId15"/>
      </mc:Fallback>
    </mc:AlternateContent>
    <mc:AlternateContent xmlns:mc="http://schemas.openxmlformats.org/markup-compatibility/2006">
      <mc:Choice Requires="x14">
        <oleObject progId="Equation.3" shapeId="11274" r:id="rId16">
          <objectPr defaultSize="0" autoPict="0" r:id="rId9">
            <anchor moveWithCells="1" sizeWithCells="1">
              <from>
                <xdr:col>3</xdr:col>
                <xdr:colOff>349250</xdr:colOff>
                <xdr:row>5</xdr:row>
                <xdr:rowOff>107950</xdr:rowOff>
              </from>
              <to>
                <xdr:col>3</xdr:col>
                <xdr:colOff>349250</xdr:colOff>
                <xdr:row>5</xdr:row>
                <xdr:rowOff>254000</xdr:rowOff>
              </to>
            </anchor>
          </objectPr>
        </oleObject>
      </mc:Choice>
      <mc:Fallback>
        <oleObject progId="Equation.3" shapeId="11274" r:id="rId16"/>
      </mc:Fallback>
    </mc:AlternateContent>
  </oleObjec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7">
    <tabColor theme="9" tint="0.39997558519241921"/>
    <pageSetUpPr fitToPage="1"/>
  </sheetPr>
  <dimension ref="B1:D22"/>
  <sheetViews>
    <sheetView showGridLines="0" zoomScale="80" zoomScaleNormal="80" workbookViewId="0">
      <selection activeCell="H13" sqref="H13"/>
    </sheetView>
  </sheetViews>
  <sheetFormatPr defaultColWidth="9.08984375" defaultRowHeight="13"/>
  <cols>
    <col min="1" max="1" width="3" style="3" customWidth="1"/>
    <col min="2" max="2" width="50.81640625" style="3" customWidth="1"/>
    <col min="3" max="3" width="10.54296875" style="5" customWidth="1"/>
    <col min="4" max="4" width="101.36328125" style="3" customWidth="1"/>
    <col min="5" max="16384" width="9.08984375" style="3"/>
  </cols>
  <sheetData>
    <row r="1" spans="2:4" s="1" customFormat="1" ht="32.4" customHeight="1">
      <c r="B1" s="330" t="s">
        <v>350</v>
      </c>
      <c r="C1" s="331"/>
      <c r="D1" s="332"/>
    </row>
    <row r="2" spans="2:4" s="8" customFormat="1" ht="22.25" customHeight="1">
      <c r="B2" s="201" t="s">
        <v>0</v>
      </c>
      <c r="C2" s="199"/>
      <c r="D2" s="202" t="s">
        <v>1</v>
      </c>
    </row>
    <row r="3" spans="2:4" s="8" customFormat="1" ht="22.25" customHeight="1">
      <c r="B3" s="112" t="s">
        <v>111</v>
      </c>
      <c r="C3" s="97">
        <v>0.05</v>
      </c>
      <c r="D3" s="158" t="s">
        <v>411</v>
      </c>
    </row>
    <row r="4" spans="2:4" s="8" customFormat="1" ht="22.25" customHeight="1">
      <c r="B4" s="113" t="s">
        <v>36</v>
      </c>
      <c r="C4" s="97">
        <v>2</v>
      </c>
      <c r="D4" s="164"/>
    </row>
    <row r="5" spans="2:4" s="8" customFormat="1" ht="22.25" customHeight="1">
      <c r="B5" s="113" t="s">
        <v>94</v>
      </c>
      <c r="C5" s="98">
        <v>0.8</v>
      </c>
      <c r="D5" s="158" t="s">
        <v>91</v>
      </c>
    </row>
    <row r="6" spans="2:4" s="8" customFormat="1" ht="22.25" customHeight="1">
      <c r="B6" s="114" t="s">
        <v>18</v>
      </c>
      <c r="C6" s="144">
        <v>0.15</v>
      </c>
      <c r="D6" s="127" t="s">
        <v>445</v>
      </c>
    </row>
    <row r="7" spans="2:4" s="8" customFormat="1" ht="22.25" customHeight="1">
      <c r="B7" s="114" t="s">
        <v>50</v>
      </c>
      <c r="C7" s="144">
        <v>0.15</v>
      </c>
      <c r="D7" s="127" t="s">
        <v>446</v>
      </c>
    </row>
    <row r="8" spans="2:4" s="8" customFormat="1" ht="22.25" customHeight="1">
      <c r="B8" s="113" t="s">
        <v>10</v>
      </c>
      <c r="C8" s="144">
        <v>0.5</v>
      </c>
      <c r="D8" s="129" t="s">
        <v>250</v>
      </c>
    </row>
    <row r="9" spans="2:4" s="8" customFormat="1" ht="22.25" customHeight="1">
      <c r="B9" s="114" t="s">
        <v>2</v>
      </c>
      <c r="C9" s="144">
        <v>0.5</v>
      </c>
      <c r="D9" s="127" t="s">
        <v>438</v>
      </c>
    </row>
    <row r="10" spans="2:4" s="8" customFormat="1" ht="22.25" customHeight="1">
      <c r="B10" s="114" t="s">
        <v>51</v>
      </c>
      <c r="C10" s="144">
        <v>0.5</v>
      </c>
      <c r="D10" s="127" t="s">
        <v>469</v>
      </c>
    </row>
    <row r="11" spans="2:4" s="8" customFormat="1" ht="22.25" customHeight="1">
      <c r="B11" s="114" t="s">
        <v>55</v>
      </c>
      <c r="C11" s="144">
        <v>0.5</v>
      </c>
      <c r="D11" s="127" t="s">
        <v>470</v>
      </c>
    </row>
    <row r="12" spans="2:4" s="8" customFormat="1" ht="22.25" customHeight="1">
      <c r="B12" s="113" t="s">
        <v>19</v>
      </c>
      <c r="C12" s="153">
        <v>2</v>
      </c>
      <c r="D12" s="127" t="s">
        <v>251</v>
      </c>
    </row>
    <row r="13" spans="2:4" s="6" customFormat="1" ht="22.25" customHeight="1">
      <c r="B13" s="113" t="s">
        <v>53</v>
      </c>
      <c r="C13" s="154">
        <v>10</v>
      </c>
      <c r="D13" s="129" t="s">
        <v>41</v>
      </c>
    </row>
    <row r="14" spans="2:4" s="6" customFormat="1" ht="22.25" customHeight="1">
      <c r="B14" s="111" t="s">
        <v>54</v>
      </c>
      <c r="C14" s="154">
        <v>4</v>
      </c>
      <c r="D14" s="129" t="s">
        <v>42</v>
      </c>
    </row>
    <row r="15" spans="2:4" s="6" customFormat="1" ht="22.25" customHeight="1">
      <c r="B15" s="111" t="s">
        <v>56</v>
      </c>
      <c r="C15" s="154">
        <v>4</v>
      </c>
      <c r="D15" s="129" t="s">
        <v>43</v>
      </c>
    </row>
    <row r="16" spans="2:4" s="6" customFormat="1" ht="22.25" customHeight="1">
      <c r="B16" s="111" t="s">
        <v>57</v>
      </c>
      <c r="C16" s="179">
        <v>15</v>
      </c>
      <c r="D16" s="182" t="s">
        <v>233</v>
      </c>
    </row>
    <row r="17" spans="2:4" s="8" customFormat="1" ht="22.25" customHeight="1">
      <c r="B17" s="152" t="s">
        <v>3</v>
      </c>
      <c r="C17" s="78">
        <f>IF(C5&gt;=0.5,(C18+C19),(C18-C19))</f>
        <v>2.9030546273774664</v>
      </c>
      <c r="D17" s="161" t="s">
        <v>24</v>
      </c>
    </row>
    <row r="18" spans="2:4" s="8" customFormat="1" ht="22.25" customHeight="1">
      <c r="B18" s="141" t="s">
        <v>229</v>
      </c>
      <c r="C18" s="78">
        <f>IF(C4=2,TINV(C3,C16*(C15-2)-C12),TINV(C3*2,C16*(C15-2)-C12))</f>
        <v>2.0484071417952445</v>
      </c>
      <c r="D18" s="161" t="s">
        <v>223</v>
      </c>
    </row>
    <row r="19" spans="2:4" s="8" customFormat="1" ht="22.25" customHeight="1">
      <c r="B19" s="141" t="s">
        <v>230</v>
      </c>
      <c r="C19" s="78">
        <f>IF(C5&gt;=0.5,TINV((1-C5)*2,C16*(C15-2)-C12),TINV(C5*2,C16*(C15-2)-C12))</f>
        <v>0.85464748558222203</v>
      </c>
      <c r="D19" s="161" t="s">
        <v>224</v>
      </c>
    </row>
    <row r="20" spans="2:4" s="175" customFormat="1" ht="22.25" customHeight="1" thickBot="1">
      <c r="B20" s="195" t="s">
        <v>6</v>
      </c>
      <c r="C20" s="196">
        <f>$C$17*SQRT($C$6*(1-$C$11)/(C8*(1-C8)*$C$16*C15)+$C$7*(1-$C$10)/(C8*(1-C8)*$C$14*$C$15*C16)+(1-$C$7-C6)*(1-$C$9)/(C8*(1-C8)*$C$14*$C$13*$C$15*C16))</f>
        <v>0.23997804515935989</v>
      </c>
      <c r="D20" s="197" t="s">
        <v>7</v>
      </c>
    </row>
    <row r="21" spans="2:4" ht="18">
      <c r="B21" s="39"/>
      <c r="C21" s="61"/>
      <c r="D21" s="39"/>
    </row>
    <row r="22" spans="2:4" ht="18">
      <c r="B22" s="38" t="s">
        <v>32</v>
      </c>
      <c r="C22" s="65"/>
      <c r="D22" s="38"/>
    </row>
  </sheetData>
  <mergeCells count="1">
    <mergeCell ref="B1:D1"/>
  </mergeCells>
  <phoneticPr fontId="15" type="noConversion"/>
  <printOptions horizontalCentered="1"/>
  <pageMargins left="1" right="1" top="1" bottom="1" header="0.5" footer="0.5"/>
  <pageSetup scale="48" fitToHeight="6" orientation="portrait" horizontalDpi="4294967293" r:id="rId1"/>
  <headerFooter>
    <oddFooter>&amp;L&amp;F&amp;A&amp;RPrinted:  &amp;D</oddFooter>
  </headerFooter>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9" tint="0.39997558519241921"/>
    <pageSetUpPr fitToPage="1"/>
  </sheetPr>
  <dimension ref="A1:D170"/>
  <sheetViews>
    <sheetView showGridLines="0" zoomScale="75" zoomScaleNormal="75" workbookViewId="0">
      <selection activeCell="C2" sqref="C2"/>
    </sheetView>
  </sheetViews>
  <sheetFormatPr defaultColWidth="9.08984375" defaultRowHeight="13"/>
  <cols>
    <col min="1" max="1" width="3.6328125" style="3" customWidth="1"/>
    <col min="2" max="2" width="44.81640625" style="3" customWidth="1"/>
    <col min="3" max="3" width="10.54296875" style="5" customWidth="1"/>
    <col min="4" max="4" width="106.6328125" style="3" customWidth="1"/>
    <col min="5" max="16384" width="9.08984375" style="3"/>
  </cols>
  <sheetData>
    <row r="1" spans="1:4" s="8" customFormat="1" ht="37.75" customHeight="1">
      <c r="A1" s="67"/>
      <c r="B1" s="330" t="s">
        <v>351</v>
      </c>
      <c r="C1" s="331"/>
      <c r="D1" s="332"/>
    </row>
    <row r="2" spans="1:4" s="8" customFormat="1" ht="22.25" customHeight="1">
      <c r="A2" s="67"/>
      <c r="B2" s="110" t="s">
        <v>0</v>
      </c>
      <c r="C2" s="74"/>
      <c r="D2" s="181" t="s">
        <v>1</v>
      </c>
    </row>
    <row r="3" spans="1:4" s="8" customFormat="1" ht="22.25" customHeight="1">
      <c r="A3" s="67"/>
      <c r="B3" s="112" t="s">
        <v>111</v>
      </c>
      <c r="C3" s="97">
        <v>0.05</v>
      </c>
      <c r="D3" s="158" t="s">
        <v>411</v>
      </c>
    </row>
    <row r="4" spans="1:4" s="8" customFormat="1" ht="22.25" customHeight="1">
      <c r="A4" s="67"/>
      <c r="B4" s="113" t="s">
        <v>36</v>
      </c>
      <c r="C4" s="97">
        <v>2</v>
      </c>
      <c r="D4" s="203"/>
    </row>
    <row r="5" spans="1:4" s="8" customFormat="1" ht="22.25" customHeight="1">
      <c r="A5" s="67"/>
      <c r="B5" s="113" t="s">
        <v>94</v>
      </c>
      <c r="C5" s="98">
        <v>0.8</v>
      </c>
      <c r="D5" s="158" t="s">
        <v>91</v>
      </c>
    </row>
    <row r="6" spans="1:4" s="8" customFormat="1" ht="22.25" customHeight="1">
      <c r="A6" s="67"/>
      <c r="B6" s="114" t="s">
        <v>22</v>
      </c>
      <c r="C6" s="144">
        <v>0.05</v>
      </c>
      <c r="D6" s="127" t="s">
        <v>465</v>
      </c>
    </row>
    <row r="7" spans="1:4" s="8" customFormat="1" ht="22.25" customHeight="1">
      <c r="A7" s="67"/>
      <c r="B7" s="114" t="s">
        <v>18</v>
      </c>
      <c r="C7" s="144">
        <v>0.15</v>
      </c>
      <c r="D7" s="127" t="s">
        <v>466</v>
      </c>
    </row>
    <row r="8" spans="1:4" s="8" customFormat="1" ht="22.25" customHeight="1">
      <c r="A8" s="67"/>
      <c r="B8" s="114" t="s">
        <v>50</v>
      </c>
      <c r="C8" s="144">
        <v>0.15</v>
      </c>
      <c r="D8" s="127" t="s">
        <v>457</v>
      </c>
    </row>
    <row r="9" spans="1:4" s="8" customFormat="1" ht="39" customHeight="1">
      <c r="A9" s="67"/>
      <c r="B9" s="114"/>
      <c r="C9" s="144">
        <v>0.5</v>
      </c>
      <c r="D9" s="127" t="s">
        <v>252</v>
      </c>
    </row>
    <row r="10" spans="1:4" s="8" customFormat="1" ht="22.25" customHeight="1">
      <c r="A10" s="67"/>
      <c r="B10" s="113" t="s">
        <v>10</v>
      </c>
      <c r="C10" s="144">
        <v>0.5</v>
      </c>
      <c r="D10" s="129" t="s">
        <v>250</v>
      </c>
    </row>
    <row r="11" spans="1:4" s="8" customFormat="1" ht="22.25" customHeight="1">
      <c r="A11" s="67"/>
      <c r="B11" s="114" t="s">
        <v>2</v>
      </c>
      <c r="C11" s="144">
        <v>0.5</v>
      </c>
      <c r="D11" s="127" t="s">
        <v>438</v>
      </c>
    </row>
    <row r="12" spans="1:4" s="8" customFormat="1" ht="22.25" customHeight="1">
      <c r="A12" s="67"/>
      <c r="B12" s="114" t="s">
        <v>51</v>
      </c>
      <c r="C12" s="144">
        <v>0.5</v>
      </c>
      <c r="D12" s="127" t="s">
        <v>469</v>
      </c>
    </row>
    <row r="13" spans="1:4" s="8" customFormat="1" ht="22.25" customHeight="1">
      <c r="A13" s="67"/>
      <c r="B13" s="114" t="s">
        <v>55</v>
      </c>
      <c r="C13" s="144">
        <v>0.5</v>
      </c>
      <c r="D13" s="127" t="s">
        <v>253</v>
      </c>
    </row>
    <row r="14" spans="1:4" s="8" customFormat="1" ht="22.25" customHeight="1">
      <c r="A14" s="67"/>
      <c r="B14" s="114" t="s">
        <v>117</v>
      </c>
      <c r="C14" s="144">
        <v>0.5</v>
      </c>
      <c r="D14" s="127" t="s">
        <v>352</v>
      </c>
    </row>
    <row r="15" spans="1:4" s="8" customFormat="1" ht="22.25" customHeight="1">
      <c r="A15" s="67"/>
      <c r="B15" s="113" t="s">
        <v>21</v>
      </c>
      <c r="C15" s="153">
        <v>3</v>
      </c>
      <c r="D15" s="127" t="s">
        <v>231</v>
      </c>
    </row>
    <row r="16" spans="1:4" s="6" customFormat="1" ht="22.25" customHeight="1">
      <c r="A16" s="10"/>
      <c r="B16" s="113" t="s">
        <v>39</v>
      </c>
      <c r="C16" s="154">
        <v>10</v>
      </c>
      <c r="D16" s="129" t="s">
        <v>41</v>
      </c>
    </row>
    <row r="17" spans="1:4" s="6" customFormat="1" ht="22.25" customHeight="1">
      <c r="A17" s="10"/>
      <c r="B17" s="111" t="s">
        <v>40</v>
      </c>
      <c r="C17" s="154">
        <v>4</v>
      </c>
      <c r="D17" s="129" t="s">
        <v>42</v>
      </c>
    </row>
    <row r="18" spans="1:4" s="6" customFormat="1" ht="22.25" customHeight="1">
      <c r="A18" s="10"/>
      <c r="B18" s="111" t="s">
        <v>44</v>
      </c>
      <c r="C18" s="154">
        <v>20</v>
      </c>
      <c r="D18" s="129" t="s">
        <v>43</v>
      </c>
    </row>
    <row r="19" spans="1:4" s="6" customFormat="1" ht="22.25" customHeight="1">
      <c r="A19" s="10"/>
      <c r="B19" s="111" t="s">
        <v>30</v>
      </c>
      <c r="C19" s="179">
        <v>20</v>
      </c>
      <c r="D19" s="182" t="s">
        <v>232</v>
      </c>
    </row>
    <row r="20" spans="1:4" s="8" customFormat="1" ht="22.25" customHeight="1">
      <c r="A20" s="67"/>
      <c r="B20" s="152" t="s">
        <v>3</v>
      </c>
      <c r="C20" s="78">
        <f>IF(C5&gt;=0.5,(C21+C22),(C21-C22))</f>
        <v>2.9845723010195462</v>
      </c>
      <c r="D20" s="161" t="s">
        <v>24</v>
      </c>
    </row>
    <row r="21" spans="1:4" s="8" customFormat="1" ht="22.25" customHeight="1">
      <c r="A21" s="67"/>
      <c r="B21" s="141" t="s">
        <v>229</v>
      </c>
      <c r="C21" s="78">
        <f>IF(C4=2,TINV(C3,C19-C15-1),TINV(C3*2,C19-C15-1))</f>
        <v>2.119905299221255</v>
      </c>
      <c r="D21" s="161" t="s">
        <v>223</v>
      </c>
    </row>
    <row r="22" spans="1:4" s="8" customFormat="1" ht="22.25" customHeight="1">
      <c r="A22" s="67"/>
      <c r="B22" s="141" t="s">
        <v>230</v>
      </c>
      <c r="C22" s="78">
        <f>IF(C5&gt;=0.5,TINV((1-C5)*2,C19-C15-1),TINV(C5*2,C19-C15-1))</f>
        <v>0.86466700179829137</v>
      </c>
      <c r="D22" s="161" t="s">
        <v>224</v>
      </c>
    </row>
    <row r="23" spans="1:4" s="175" customFormat="1" ht="22.25" customHeight="1" thickBot="1">
      <c r="A23" s="10"/>
      <c r="B23" s="195" t="s">
        <v>6</v>
      </c>
      <c r="C23" s="196">
        <f>$C$20*SQRT($C$6*C9*(1-$C$14)/$C$19+$C$7*(1-$C$13)/(C10*(1-C10)*$C$19*C18)+$C$8*(1-$C$12)/(C10*(1-C10)*$C$17*$C$18*C19)+(1-$C$8-C7-$C$6)*(1-$C$11)/(C10*(1-C10)*$C$17*$C$16*$C$18*C19))</f>
        <v>0.12100407246926255</v>
      </c>
      <c r="D23" s="197" t="s">
        <v>7</v>
      </c>
    </row>
    <row r="24" spans="1:4" ht="18">
      <c r="A24" s="39"/>
      <c r="B24" s="39"/>
      <c r="C24" s="61"/>
      <c r="D24" s="39"/>
    </row>
    <row r="25" spans="1:4" ht="18">
      <c r="A25" s="39"/>
      <c r="B25" s="38" t="s">
        <v>32</v>
      </c>
      <c r="C25" s="65"/>
      <c r="D25" s="38"/>
    </row>
    <row r="26" spans="1:4" ht="18">
      <c r="A26" s="39"/>
      <c r="B26" s="39"/>
      <c r="C26" s="61"/>
      <c r="D26" s="39"/>
    </row>
    <row r="27" spans="1:4" ht="18">
      <c r="A27" s="39"/>
      <c r="B27" s="39"/>
      <c r="C27" s="61"/>
      <c r="D27" s="39"/>
    </row>
    <row r="28" spans="1:4" ht="18">
      <c r="A28" s="39"/>
      <c r="B28" s="39"/>
      <c r="C28" s="61"/>
      <c r="D28" s="39"/>
    </row>
    <row r="29" spans="1:4" ht="18">
      <c r="A29" s="39"/>
      <c r="B29" s="39"/>
      <c r="C29" s="61"/>
      <c r="D29" s="39"/>
    </row>
    <row r="30" spans="1:4" ht="18">
      <c r="A30" s="39"/>
      <c r="B30" s="39"/>
      <c r="C30" s="61"/>
      <c r="D30" s="39"/>
    </row>
    <row r="31" spans="1:4" ht="18">
      <c r="A31" s="39"/>
      <c r="B31" s="39"/>
      <c r="C31" s="61"/>
      <c r="D31" s="39"/>
    </row>
    <row r="32" spans="1:4" ht="18">
      <c r="A32" s="39"/>
      <c r="B32" s="39"/>
      <c r="C32" s="61"/>
      <c r="D32" s="39"/>
    </row>
    <row r="33" spans="1:4" ht="18">
      <c r="A33" s="39"/>
      <c r="B33" s="39"/>
      <c r="C33" s="61"/>
      <c r="D33" s="39"/>
    </row>
    <row r="34" spans="1:4" ht="18">
      <c r="A34" s="39"/>
      <c r="B34" s="39"/>
      <c r="C34" s="61"/>
      <c r="D34" s="39"/>
    </row>
    <row r="35" spans="1:4" ht="18">
      <c r="A35" s="39"/>
      <c r="B35" s="39"/>
      <c r="C35" s="61"/>
      <c r="D35" s="39"/>
    </row>
    <row r="36" spans="1:4" ht="18">
      <c r="A36" s="39"/>
      <c r="B36" s="39"/>
      <c r="C36" s="61"/>
      <c r="D36" s="39"/>
    </row>
    <row r="37" spans="1:4" ht="18">
      <c r="A37" s="39"/>
      <c r="B37" s="39"/>
      <c r="C37" s="61"/>
      <c r="D37" s="39"/>
    </row>
    <row r="38" spans="1:4" ht="18">
      <c r="A38" s="39"/>
      <c r="B38" s="39"/>
      <c r="C38" s="61"/>
      <c r="D38" s="39"/>
    </row>
    <row r="39" spans="1:4" ht="18">
      <c r="A39" s="39"/>
      <c r="B39" s="39"/>
      <c r="C39" s="61"/>
      <c r="D39" s="39"/>
    </row>
    <row r="40" spans="1:4" ht="18">
      <c r="A40" s="39"/>
      <c r="B40" s="39"/>
      <c r="C40" s="61"/>
      <c r="D40" s="39"/>
    </row>
    <row r="41" spans="1:4" ht="18">
      <c r="A41" s="39"/>
      <c r="B41" s="39"/>
      <c r="C41" s="61"/>
      <c r="D41" s="39"/>
    </row>
    <row r="42" spans="1:4" ht="18">
      <c r="A42" s="39"/>
      <c r="B42" s="39"/>
      <c r="C42" s="61"/>
      <c r="D42" s="39"/>
    </row>
    <row r="43" spans="1:4" ht="18">
      <c r="A43" s="39"/>
      <c r="B43" s="39"/>
      <c r="C43" s="61"/>
      <c r="D43" s="39"/>
    </row>
    <row r="44" spans="1:4" ht="18">
      <c r="A44" s="39"/>
      <c r="B44" s="39"/>
      <c r="C44" s="61"/>
      <c r="D44" s="39"/>
    </row>
    <row r="45" spans="1:4" ht="18">
      <c r="A45" s="39"/>
      <c r="B45" s="39"/>
      <c r="C45" s="61"/>
      <c r="D45" s="39"/>
    </row>
    <row r="46" spans="1:4" ht="18">
      <c r="A46" s="39"/>
      <c r="B46" s="39"/>
      <c r="C46" s="61"/>
      <c r="D46" s="39"/>
    </row>
    <row r="47" spans="1:4" ht="18">
      <c r="A47" s="39"/>
      <c r="B47" s="39"/>
      <c r="C47" s="61"/>
      <c r="D47" s="39"/>
    </row>
    <row r="48" spans="1:4" ht="18">
      <c r="A48" s="39"/>
      <c r="B48" s="39"/>
      <c r="C48" s="61"/>
      <c r="D48" s="39"/>
    </row>
    <row r="49" spans="1:4" ht="18">
      <c r="A49" s="39"/>
      <c r="B49" s="39"/>
      <c r="C49" s="61"/>
      <c r="D49" s="39"/>
    </row>
    <row r="50" spans="1:4" ht="18">
      <c r="A50" s="39"/>
      <c r="B50" s="39"/>
      <c r="C50" s="61"/>
      <c r="D50" s="39"/>
    </row>
    <row r="51" spans="1:4" ht="18">
      <c r="A51" s="39"/>
      <c r="B51" s="39"/>
      <c r="C51" s="61"/>
      <c r="D51" s="39"/>
    </row>
    <row r="52" spans="1:4" ht="18">
      <c r="A52" s="39"/>
      <c r="B52" s="39"/>
      <c r="C52" s="61"/>
      <c r="D52" s="39"/>
    </row>
    <row r="53" spans="1:4" ht="18">
      <c r="A53" s="39"/>
      <c r="B53" s="39"/>
      <c r="C53" s="61"/>
      <c r="D53" s="39"/>
    </row>
    <row r="54" spans="1:4" ht="18">
      <c r="A54" s="39"/>
      <c r="B54" s="39"/>
      <c r="C54" s="61"/>
      <c r="D54" s="39"/>
    </row>
    <row r="55" spans="1:4" ht="18">
      <c r="A55" s="39"/>
      <c r="B55" s="39"/>
      <c r="C55" s="61"/>
      <c r="D55" s="39"/>
    </row>
    <row r="56" spans="1:4" ht="18">
      <c r="A56" s="39"/>
      <c r="B56" s="39"/>
      <c r="C56" s="61"/>
      <c r="D56" s="39"/>
    </row>
    <row r="57" spans="1:4" ht="18">
      <c r="A57" s="39"/>
      <c r="B57" s="39"/>
      <c r="C57" s="61"/>
      <c r="D57" s="39"/>
    </row>
    <row r="58" spans="1:4" ht="18">
      <c r="A58" s="39"/>
      <c r="B58" s="39"/>
      <c r="C58" s="61"/>
      <c r="D58" s="39"/>
    </row>
    <row r="59" spans="1:4" ht="18">
      <c r="A59" s="39"/>
      <c r="B59" s="39"/>
      <c r="C59" s="61"/>
      <c r="D59" s="39"/>
    </row>
    <row r="60" spans="1:4" ht="18">
      <c r="A60" s="39"/>
      <c r="B60" s="39"/>
      <c r="C60" s="61"/>
      <c r="D60" s="39"/>
    </row>
    <row r="61" spans="1:4" ht="18">
      <c r="A61" s="39"/>
      <c r="B61" s="39"/>
      <c r="C61" s="61"/>
      <c r="D61" s="39"/>
    </row>
    <row r="62" spans="1:4" ht="18">
      <c r="A62" s="39"/>
      <c r="B62" s="39"/>
      <c r="C62" s="61"/>
      <c r="D62" s="39"/>
    </row>
    <row r="63" spans="1:4" ht="18">
      <c r="A63" s="39"/>
      <c r="B63" s="39"/>
      <c r="C63" s="61"/>
      <c r="D63" s="39"/>
    </row>
    <row r="64" spans="1:4" ht="18">
      <c r="A64" s="39"/>
      <c r="B64" s="39"/>
      <c r="C64" s="61"/>
      <c r="D64" s="39"/>
    </row>
    <row r="65" spans="1:4" ht="18">
      <c r="A65" s="39"/>
      <c r="B65" s="39"/>
      <c r="C65" s="61"/>
      <c r="D65" s="39"/>
    </row>
    <row r="66" spans="1:4" ht="18">
      <c r="A66" s="39"/>
      <c r="B66" s="39"/>
      <c r="C66" s="61"/>
      <c r="D66" s="39"/>
    </row>
    <row r="67" spans="1:4" ht="18">
      <c r="A67" s="39"/>
      <c r="B67" s="39"/>
      <c r="C67" s="61"/>
      <c r="D67" s="39"/>
    </row>
    <row r="68" spans="1:4" ht="18">
      <c r="A68" s="39"/>
      <c r="B68" s="39"/>
      <c r="C68" s="61"/>
      <c r="D68" s="39"/>
    </row>
    <row r="69" spans="1:4" ht="18">
      <c r="A69" s="39"/>
      <c r="B69" s="39"/>
      <c r="C69" s="61"/>
      <c r="D69" s="39"/>
    </row>
    <row r="70" spans="1:4" ht="18">
      <c r="A70" s="39"/>
      <c r="B70" s="39"/>
      <c r="C70" s="61"/>
      <c r="D70" s="39"/>
    </row>
    <row r="71" spans="1:4" ht="18">
      <c r="A71" s="39"/>
      <c r="B71" s="39"/>
      <c r="C71" s="61"/>
      <c r="D71" s="39"/>
    </row>
    <row r="72" spans="1:4" ht="18">
      <c r="A72" s="39"/>
      <c r="B72" s="39"/>
      <c r="C72" s="61"/>
      <c r="D72" s="39"/>
    </row>
    <row r="73" spans="1:4" ht="18">
      <c r="A73" s="39"/>
      <c r="B73" s="39"/>
      <c r="C73" s="61"/>
      <c r="D73" s="39"/>
    </row>
    <row r="74" spans="1:4" ht="18">
      <c r="A74" s="39"/>
      <c r="B74" s="39"/>
      <c r="C74" s="61"/>
      <c r="D74" s="39"/>
    </row>
    <row r="75" spans="1:4" ht="18">
      <c r="A75" s="39"/>
      <c r="B75" s="39"/>
      <c r="C75" s="61"/>
      <c r="D75" s="39"/>
    </row>
    <row r="76" spans="1:4" ht="18">
      <c r="A76" s="39"/>
      <c r="B76" s="39"/>
      <c r="C76" s="61"/>
      <c r="D76" s="39"/>
    </row>
    <row r="77" spans="1:4" ht="18">
      <c r="A77" s="39"/>
      <c r="B77" s="39"/>
      <c r="C77" s="61"/>
      <c r="D77" s="39"/>
    </row>
    <row r="78" spans="1:4" ht="18">
      <c r="A78" s="39"/>
      <c r="B78" s="39"/>
      <c r="C78" s="61"/>
      <c r="D78" s="39"/>
    </row>
    <row r="79" spans="1:4" ht="18">
      <c r="A79" s="39"/>
      <c r="B79" s="39"/>
      <c r="C79" s="61"/>
      <c r="D79" s="39"/>
    </row>
    <row r="80" spans="1:4" ht="18">
      <c r="A80" s="39"/>
      <c r="B80" s="39"/>
      <c r="C80" s="61"/>
      <c r="D80" s="39"/>
    </row>
    <row r="81" spans="1:4" ht="18">
      <c r="A81" s="39"/>
      <c r="B81" s="39"/>
      <c r="C81" s="61"/>
      <c r="D81" s="39"/>
    </row>
    <row r="82" spans="1:4" ht="18">
      <c r="A82" s="39"/>
      <c r="B82" s="39"/>
      <c r="C82" s="61"/>
      <c r="D82" s="39"/>
    </row>
    <row r="83" spans="1:4" ht="18">
      <c r="A83" s="39"/>
      <c r="B83" s="39"/>
      <c r="C83" s="61"/>
      <c r="D83" s="39"/>
    </row>
    <row r="84" spans="1:4" ht="18">
      <c r="A84" s="39"/>
      <c r="B84" s="39"/>
      <c r="C84" s="61"/>
      <c r="D84" s="39"/>
    </row>
    <row r="85" spans="1:4" ht="18">
      <c r="A85" s="39"/>
      <c r="B85" s="39"/>
      <c r="C85" s="61"/>
      <c r="D85" s="39"/>
    </row>
    <row r="86" spans="1:4" ht="18">
      <c r="A86" s="39"/>
      <c r="B86" s="39"/>
      <c r="C86" s="61"/>
      <c r="D86" s="39"/>
    </row>
    <row r="87" spans="1:4" ht="18">
      <c r="A87" s="39"/>
      <c r="B87" s="39"/>
      <c r="C87" s="61"/>
      <c r="D87" s="39"/>
    </row>
    <row r="88" spans="1:4" ht="18">
      <c r="A88" s="39"/>
      <c r="B88" s="39"/>
      <c r="C88" s="61"/>
      <c r="D88" s="39"/>
    </row>
    <row r="89" spans="1:4" ht="18">
      <c r="A89" s="39"/>
      <c r="B89" s="39"/>
      <c r="C89" s="61"/>
      <c r="D89" s="39"/>
    </row>
    <row r="90" spans="1:4" ht="18">
      <c r="A90" s="39"/>
      <c r="B90" s="39"/>
      <c r="C90" s="61"/>
      <c r="D90" s="39"/>
    </row>
    <row r="91" spans="1:4" ht="18">
      <c r="A91" s="39"/>
      <c r="B91" s="39"/>
      <c r="C91" s="61"/>
      <c r="D91" s="39"/>
    </row>
    <row r="92" spans="1:4" ht="18">
      <c r="A92" s="39"/>
      <c r="B92" s="39"/>
      <c r="C92" s="61"/>
      <c r="D92" s="39"/>
    </row>
    <row r="93" spans="1:4" ht="18">
      <c r="A93" s="39"/>
      <c r="B93" s="39"/>
      <c r="C93" s="61"/>
      <c r="D93" s="39"/>
    </row>
    <row r="94" spans="1:4" ht="18">
      <c r="A94" s="39"/>
      <c r="B94" s="39"/>
      <c r="C94" s="61"/>
      <c r="D94" s="39"/>
    </row>
    <row r="95" spans="1:4" ht="18">
      <c r="A95" s="39"/>
      <c r="B95" s="39"/>
      <c r="C95" s="61"/>
      <c r="D95" s="39"/>
    </row>
    <row r="96" spans="1:4" ht="18">
      <c r="A96" s="39"/>
      <c r="B96" s="39"/>
      <c r="C96" s="61"/>
      <c r="D96" s="39"/>
    </row>
    <row r="97" spans="1:4" ht="18">
      <c r="A97" s="39"/>
      <c r="B97" s="39"/>
      <c r="C97" s="61"/>
      <c r="D97" s="39"/>
    </row>
    <row r="98" spans="1:4" ht="18">
      <c r="A98" s="39"/>
      <c r="B98" s="39"/>
      <c r="C98" s="61"/>
      <c r="D98" s="39"/>
    </row>
    <row r="99" spans="1:4" ht="18">
      <c r="A99" s="39"/>
      <c r="B99" s="39"/>
      <c r="C99" s="61"/>
      <c r="D99" s="39"/>
    </row>
    <row r="100" spans="1:4" ht="18">
      <c r="A100" s="39"/>
      <c r="B100" s="39"/>
      <c r="C100" s="61"/>
      <c r="D100" s="39"/>
    </row>
    <row r="101" spans="1:4" ht="18">
      <c r="A101" s="39"/>
      <c r="B101" s="39"/>
      <c r="C101" s="61"/>
      <c r="D101" s="39"/>
    </row>
    <row r="102" spans="1:4" ht="18">
      <c r="A102" s="39"/>
      <c r="B102" s="39"/>
      <c r="C102" s="61"/>
      <c r="D102" s="39"/>
    </row>
    <row r="103" spans="1:4" ht="18">
      <c r="A103" s="39"/>
      <c r="B103" s="39"/>
      <c r="C103" s="61"/>
      <c r="D103" s="39"/>
    </row>
    <row r="104" spans="1:4" ht="18">
      <c r="A104" s="39"/>
      <c r="B104" s="39"/>
      <c r="C104" s="61"/>
      <c r="D104" s="39"/>
    </row>
    <row r="105" spans="1:4" ht="18">
      <c r="A105" s="39"/>
      <c r="B105" s="39"/>
      <c r="C105" s="61"/>
      <c r="D105" s="39"/>
    </row>
    <row r="106" spans="1:4" ht="18">
      <c r="A106" s="39"/>
      <c r="B106" s="39"/>
      <c r="C106" s="61"/>
      <c r="D106" s="39"/>
    </row>
    <row r="107" spans="1:4" ht="18">
      <c r="A107" s="39"/>
      <c r="B107" s="39"/>
      <c r="C107" s="61"/>
      <c r="D107" s="39"/>
    </row>
    <row r="108" spans="1:4" ht="18">
      <c r="A108" s="39"/>
      <c r="B108" s="39"/>
      <c r="C108" s="61"/>
      <c r="D108" s="39"/>
    </row>
    <row r="109" spans="1:4" ht="18">
      <c r="A109" s="39"/>
      <c r="B109" s="39"/>
      <c r="C109" s="61"/>
      <c r="D109" s="39"/>
    </row>
    <row r="110" spans="1:4" ht="18">
      <c r="A110" s="39"/>
      <c r="B110" s="39"/>
      <c r="C110" s="61"/>
      <c r="D110" s="39"/>
    </row>
    <row r="111" spans="1:4" ht="18">
      <c r="A111" s="39"/>
      <c r="B111" s="39"/>
      <c r="C111" s="61"/>
      <c r="D111" s="39"/>
    </row>
    <row r="112" spans="1:4" ht="18">
      <c r="A112" s="39"/>
      <c r="B112" s="39"/>
      <c r="C112" s="61"/>
      <c r="D112" s="39"/>
    </row>
    <row r="113" spans="1:4" ht="18">
      <c r="A113" s="39"/>
      <c r="B113" s="39"/>
      <c r="C113" s="61"/>
      <c r="D113" s="39"/>
    </row>
    <row r="114" spans="1:4" ht="18">
      <c r="A114" s="39"/>
      <c r="B114" s="39"/>
      <c r="C114" s="61"/>
      <c r="D114" s="39"/>
    </row>
    <row r="115" spans="1:4" ht="18">
      <c r="A115" s="39"/>
      <c r="B115" s="39"/>
      <c r="C115" s="61"/>
      <c r="D115" s="39"/>
    </row>
    <row r="116" spans="1:4" ht="18">
      <c r="A116" s="39"/>
      <c r="B116" s="39"/>
      <c r="C116" s="61"/>
      <c r="D116" s="39"/>
    </row>
    <row r="117" spans="1:4" ht="18">
      <c r="A117" s="39"/>
      <c r="B117" s="39"/>
      <c r="C117" s="61"/>
      <c r="D117" s="39"/>
    </row>
    <row r="118" spans="1:4" ht="18">
      <c r="A118" s="39"/>
      <c r="B118" s="39"/>
      <c r="C118" s="61"/>
      <c r="D118" s="39"/>
    </row>
    <row r="119" spans="1:4" ht="18">
      <c r="A119" s="39"/>
      <c r="B119" s="39"/>
      <c r="C119" s="61"/>
      <c r="D119" s="39"/>
    </row>
    <row r="120" spans="1:4" ht="18">
      <c r="A120" s="39"/>
      <c r="B120" s="39"/>
      <c r="C120" s="61"/>
      <c r="D120" s="39"/>
    </row>
    <row r="121" spans="1:4" ht="18">
      <c r="A121" s="39"/>
      <c r="B121" s="39"/>
      <c r="C121" s="61"/>
      <c r="D121" s="39"/>
    </row>
    <row r="122" spans="1:4" ht="18">
      <c r="A122" s="39"/>
      <c r="B122" s="39"/>
      <c r="C122" s="61"/>
      <c r="D122" s="39"/>
    </row>
    <row r="123" spans="1:4" ht="18">
      <c r="A123" s="39"/>
      <c r="B123" s="39"/>
      <c r="C123" s="61"/>
      <c r="D123" s="39"/>
    </row>
    <row r="124" spans="1:4" ht="18">
      <c r="A124" s="39"/>
      <c r="B124" s="39"/>
      <c r="C124" s="61"/>
      <c r="D124" s="39"/>
    </row>
    <row r="125" spans="1:4" ht="18">
      <c r="A125" s="39"/>
      <c r="B125" s="39"/>
      <c r="C125" s="61"/>
      <c r="D125" s="39"/>
    </row>
    <row r="126" spans="1:4" ht="18">
      <c r="A126" s="39"/>
      <c r="B126" s="39"/>
      <c r="C126" s="61"/>
      <c r="D126" s="39"/>
    </row>
    <row r="127" spans="1:4" ht="18">
      <c r="A127" s="39"/>
      <c r="B127" s="39"/>
      <c r="C127" s="61"/>
      <c r="D127" s="39"/>
    </row>
    <row r="128" spans="1:4" ht="18">
      <c r="A128" s="39"/>
      <c r="B128" s="39"/>
      <c r="C128" s="61"/>
      <c r="D128" s="39"/>
    </row>
    <row r="129" spans="1:4" ht="18">
      <c r="A129" s="39"/>
      <c r="B129" s="39"/>
      <c r="C129" s="61"/>
      <c r="D129" s="39"/>
    </row>
    <row r="130" spans="1:4" ht="18">
      <c r="A130" s="39"/>
      <c r="B130" s="39"/>
      <c r="C130" s="61"/>
      <c r="D130" s="39"/>
    </row>
    <row r="131" spans="1:4" ht="18">
      <c r="A131" s="39"/>
      <c r="B131" s="39"/>
      <c r="C131" s="61"/>
      <c r="D131" s="39"/>
    </row>
    <row r="132" spans="1:4" ht="18">
      <c r="A132" s="39"/>
      <c r="B132" s="39"/>
      <c r="C132" s="61"/>
      <c r="D132" s="39"/>
    </row>
    <row r="133" spans="1:4" ht="18">
      <c r="A133" s="39"/>
      <c r="B133" s="39"/>
      <c r="C133" s="61"/>
      <c r="D133" s="39"/>
    </row>
    <row r="134" spans="1:4" ht="18">
      <c r="A134" s="39"/>
      <c r="B134" s="39"/>
      <c r="C134" s="61"/>
      <c r="D134" s="39"/>
    </row>
    <row r="135" spans="1:4" ht="18">
      <c r="A135" s="39"/>
      <c r="B135" s="39"/>
      <c r="C135" s="61"/>
      <c r="D135" s="39"/>
    </row>
    <row r="136" spans="1:4" ht="18">
      <c r="A136" s="39"/>
      <c r="B136" s="39"/>
      <c r="C136" s="61"/>
      <c r="D136" s="39"/>
    </row>
    <row r="137" spans="1:4" ht="18">
      <c r="A137" s="39"/>
      <c r="B137" s="39"/>
      <c r="C137" s="61"/>
      <c r="D137" s="39"/>
    </row>
    <row r="138" spans="1:4" ht="18">
      <c r="A138" s="39"/>
      <c r="B138" s="39"/>
      <c r="C138" s="61"/>
      <c r="D138" s="39"/>
    </row>
    <row r="139" spans="1:4" ht="18">
      <c r="A139" s="39"/>
      <c r="B139" s="39"/>
      <c r="C139" s="61"/>
      <c r="D139" s="39"/>
    </row>
    <row r="140" spans="1:4" ht="18">
      <c r="A140" s="39"/>
      <c r="B140" s="39"/>
      <c r="C140" s="61"/>
      <c r="D140" s="39"/>
    </row>
    <row r="141" spans="1:4" ht="18">
      <c r="A141" s="39"/>
      <c r="B141" s="39"/>
      <c r="C141" s="61"/>
      <c r="D141" s="39"/>
    </row>
    <row r="142" spans="1:4" ht="18">
      <c r="A142" s="39"/>
      <c r="B142" s="39"/>
      <c r="C142" s="61"/>
      <c r="D142" s="39"/>
    </row>
    <row r="143" spans="1:4" ht="18">
      <c r="A143" s="39"/>
      <c r="B143" s="39"/>
      <c r="C143" s="61"/>
      <c r="D143" s="39"/>
    </row>
    <row r="144" spans="1:4" ht="18">
      <c r="A144" s="39"/>
      <c r="B144" s="39"/>
      <c r="C144" s="61"/>
      <c r="D144" s="39"/>
    </row>
    <row r="145" spans="1:4" ht="18">
      <c r="A145" s="39"/>
      <c r="B145" s="39"/>
      <c r="C145" s="61"/>
      <c r="D145" s="39"/>
    </row>
    <row r="146" spans="1:4" ht="18">
      <c r="A146" s="39"/>
      <c r="B146" s="39"/>
      <c r="C146" s="61"/>
      <c r="D146" s="39"/>
    </row>
    <row r="147" spans="1:4" ht="18">
      <c r="A147" s="39"/>
      <c r="B147" s="39"/>
      <c r="C147" s="61"/>
      <c r="D147" s="39"/>
    </row>
    <row r="148" spans="1:4" ht="18">
      <c r="A148" s="39"/>
      <c r="B148" s="39"/>
      <c r="C148" s="61"/>
      <c r="D148" s="39"/>
    </row>
    <row r="149" spans="1:4" ht="18">
      <c r="A149" s="39"/>
      <c r="B149" s="39"/>
      <c r="C149" s="61"/>
      <c r="D149" s="39"/>
    </row>
    <row r="150" spans="1:4" ht="18">
      <c r="A150" s="39"/>
      <c r="B150" s="39"/>
      <c r="C150" s="61"/>
      <c r="D150" s="39"/>
    </row>
    <row r="151" spans="1:4" ht="18">
      <c r="A151" s="39"/>
      <c r="B151" s="39"/>
      <c r="C151" s="61"/>
      <c r="D151" s="39"/>
    </row>
    <row r="152" spans="1:4" ht="18">
      <c r="A152" s="39"/>
      <c r="B152" s="39"/>
      <c r="C152" s="61"/>
      <c r="D152" s="39"/>
    </row>
    <row r="153" spans="1:4" ht="18">
      <c r="A153" s="39"/>
      <c r="B153" s="39"/>
      <c r="C153" s="61"/>
      <c r="D153" s="39"/>
    </row>
    <row r="154" spans="1:4" ht="18">
      <c r="A154" s="39"/>
      <c r="B154" s="39"/>
      <c r="C154" s="61"/>
      <c r="D154" s="39"/>
    </row>
    <row r="155" spans="1:4" ht="18">
      <c r="A155" s="39"/>
      <c r="B155" s="39"/>
      <c r="C155" s="61"/>
      <c r="D155" s="39"/>
    </row>
    <row r="156" spans="1:4" ht="18">
      <c r="A156" s="39"/>
      <c r="B156" s="39"/>
      <c r="C156" s="61"/>
      <c r="D156" s="39"/>
    </row>
    <row r="157" spans="1:4" ht="18">
      <c r="A157" s="39"/>
      <c r="B157" s="39"/>
      <c r="C157" s="61"/>
      <c r="D157" s="39"/>
    </row>
    <row r="158" spans="1:4" ht="18">
      <c r="A158" s="39"/>
      <c r="B158" s="39"/>
      <c r="C158" s="61"/>
      <c r="D158" s="39"/>
    </row>
    <row r="159" spans="1:4" ht="18">
      <c r="A159" s="39"/>
      <c r="B159" s="39"/>
      <c r="C159" s="61"/>
      <c r="D159" s="39"/>
    </row>
    <row r="160" spans="1:4" ht="18">
      <c r="A160" s="39"/>
      <c r="B160" s="39"/>
      <c r="C160" s="61"/>
      <c r="D160" s="39"/>
    </row>
    <row r="161" spans="1:4" ht="18">
      <c r="A161" s="39"/>
      <c r="B161" s="39"/>
      <c r="C161" s="61"/>
      <c r="D161" s="39"/>
    </row>
    <row r="162" spans="1:4" ht="18">
      <c r="A162" s="39"/>
      <c r="B162" s="39"/>
      <c r="C162" s="61"/>
      <c r="D162" s="39"/>
    </row>
    <row r="163" spans="1:4" ht="18">
      <c r="A163" s="39"/>
      <c r="B163" s="39"/>
      <c r="C163" s="61"/>
      <c r="D163" s="39"/>
    </row>
    <row r="164" spans="1:4" ht="18">
      <c r="A164" s="39"/>
      <c r="B164" s="39"/>
      <c r="C164" s="61"/>
      <c r="D164" s="39"/>
    </row>
    <row r="165" spans="1:4" ht="18">
      <c r="A165" s="39"/>
      <c r="B165" s="39"/>
      <c r="C165" s="61"/>
      <c r="D165" s="39"/>
    </row>
    <row r="166" spans="1:4" ht="18">
      <c r="A166" s="39"/>
      <c r="B166" s="39"/>
      <c r="C166" s="61"/>
      <c r="D166" s="39"/>
    </row>
    <row r="167" spans="1:4" ht="18">
      <c r="A167" s="39"/>
      <c r="B167" s="39"/>
      <c r="C167" s="61"/>
      <c r="D167" s="39"/>
    </row>
    <row r="168" spans="1:4" ht="18">
      <c r="A168" s="39"/>
      <c r="B168" s="39"/>
      <c r="C168" s="61"/>
      <c r="D168" s="39"/>
    </row>
    <row r="169" spans="1:4" ht="18">
      <c r="A169" s="39"/>
      <c r="B169" s="39"/>
      <c r="C169" s="61"/>
      <c r="D169" s="39"/>
    </row>
    <row r="170" spans="1:4" ht="18">
      <c r="A170" s="39"/>
      <c r="B170" s="39"/>
      <c r="C170" s="61"/>
      <c r="D170" s="39"/>
    </row>
  </sheetData>
  <mergeCells count="1">
    <mergeCell ref="B1:D1"/>
  </mergeCells>
  <phoneticPr fontId="15" type="noConversion"/>
  <printOptions horizontalCentered="1"/>
  <pageMargins left="1" right="1" top="1" bottom="1" header="0.5" footer="0.5"/>
  <pageSetup scale="51" fitToHeight="6" orientation="portrait" horizontalDpi="4294967293" r:id="rId1"/>
  <headerFooter>
    <oddFooter>&amp;L&amp;F&amp;A&amp;RPritned:  &amp;D</oddFooter>
  </headerFooter>
  <drawing r:id="rId2"/>
  <legacyDrawing r:id="rId3"/>
  <oleObjects>
    <mc:AlternateContent xmlns:mc="http://schemas.openxmlformats.org/markup-compatibility/2006">
      <mc:Choice Requires="x14">
        <oleObject progId="Equation.3" shapeId="10241" r:id="rId4">
          <objectPr defaultSize="0" autoPict="0" r:id="rId5">
            <anchor moveWithCells="1">
              <from>
                <xdr:col>1</xdr:col>
                <xdr:colOff>107950</xdr:colOff>
                <xdr:row>8</xdr:row>
                <xdr:rowOff>82550</xdr:rowOff>
              </from>
              <to>
                <xdr:col>1</xdr:col>
                <xdr:colOff>488950</xdr:colOff>
                <xdr:row>8</xdr:row>
                <xdr:rowOff>368300</xdr:rowOff>
              </to>
            </anchor>
          </objectPr>
        </oleObject>
      </mc:Choice>
      <mc:Fallback>
        <oleObject progId="Equation.3" shapeId="10241" r:id="rId4"/>
      </mc:Fallback>
    </mc:AlternateContent>
    <mc:AlternateContent xmlns:mc="http://schemas.openxmlformats.org/markup-compatibility/2006">
      <mc:Choice Requires="x14">
        <oleObject progId="Equation.3" shapeId="10386" r:id="rId6">
          <objectPr defaultSize="0" autoPict="0" r:id="rId7">
            <anchor moveWithCells="1" sizeWithCells="1">
              <from>
                <xdr:col>3</xdr:col>
                <xdr:colOff>2368550</xdr:colOff>
                <xdr:row>8</xdr:row>
                <xdr:rowOff>215900</xdr:rowOff>
              </from>
              <to>
                <xdr:col>3</xdr:col>
                <xdr:colOff>3035300</xdr:colOff>
                <xdr:row>9</xdr:row>
                <xdr:rowOff>0</xdr:rowOff>
              </to>
            </anchor>
          </objectPr>
        </oleObject>
      </mc:Choice>
      <mc:Fallback>
        <oleObject progId="Equation.3" shapeId="10386" r:id="rId6"/>
      </mc:Fallback>
    </mc:AlternateContent>
  </oleObjec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tabColor rgb="FF00B050"/>
    <pageSetUpPr fitToPage="1"/>
  </sheetPr>
  <dimension ref="B1:D19"/>
  <sheetViews>
    <sheetView showGridLines="0" zoomScale="75" zoomScaleNormal="75" workbookViewId="0">
      <selection activeCell="I20" sqref="I20"/>
    </sheetView>
  </sheetViews>
  <sheetFormatPr defaultColWidth="9.08984375" defaultRowHeight="13"/>
  <cols>
    <col min="1" max="1" width="2.90625" style="3" customWidth="1"/>
    <col min="2" max="2" width="36" style="3" customWidth="1"/>
    <col min="3" max="3" width="11.6328125" style="5" customWidth="1"/>
    <col min="4" max="4" width="107.6328125" style="3" customWidth="1"/>
    <col min="5" max="16384" width="9.08984375" style="3"/>
  </cols>
  <sheetData>
    <row r="1" spans="2:4" s="6" customFormat="1" ht="43.5" customHeight="1">
      <c r="B1" s="330" t="s">
        <v>353</v>
      </c>
      <c r="C1" s="331"/>
      <c r="D1" s="332"/>
    </row>
    <row r="2" spans="2:4" s="6" customFormat="1" ht="24" customHeight="1">
      <c r="B2" s="94" t="s">
        <v>0</v>
      </c>
      <c r="C2" s="74"/>
      <c r="D2" s="126" t="s">
        <v>1</v>
      </c>
    </row>
    <row r="3" spans="2:4" s="6" customFormat="1" ht="24" customHeight="1">
      <c r="B3" s="112" t="s">
        <v>111</v>
      </c>
      <c r="C3" s="97">
        <v>0.05</v>
      </c>
      <c r="D3" s="158" t="s">
        <v>411</v>
      </c>
    </row>
    <row r="4" spans="2:4" s="6" customFormat="1" ht="24" customHeight="1">
      <c r="B4" s="113" t="s">
        <v>36</v>
      </c>
      <c r="C4" s="97">
        <v>2</v>
      </c>
      <c r="D4" s="158"/>
    </row>
    <row r="5" spans="2:4" s="6" customFormat="1" ht="24" customHeight="1">
      <c r="B5" s="113" t="s">
        <v>94</v>
      </c>
      <c r="C5" s="98">
        <v>0.8</v>
      </c>
      <c r="D5" s="158" t="s">
        <v>91</v>
      </c>
    </row>
    <row r="6" spans="2:4" s="6" customFormat="1" ht="24" customHeight="1">
      <c r="B6" s="113" t="s">
        <v>9</v>
      </c>
      <c r="C6" s="205">
        <v>0.5</v>
      </c>
      <c r="D6" s="127" t="s">
        <v>45</v>
      </c>
    </row>
    <row r="7" spans="2:4" s="6" customFormat="1" ht="24" customHeight="1">
      <c r="B7" s="114" t="s">
        <v>2</v>
      </c>
      <c r="C7" s="144">
        <v>0.5</v>
      </c>
      <c r="D7" s="127" t="s">
        <v>354</v>
      </c>
    </row>
    <row r="8" spans="2:4" s="6" customFormat="1" ht="24" customHeight="1">
      <c r="B8" s="114" t="s">
        <v>5</v>
      </c>
      <c r="C8" s="153">
        <v>1</v>
      </c>
      <c r="D8" s="127" t="s">
        <v>262</v>
      </c>
    </row>
    <row r="9" spans="2:4" s="6" customFormat="1" ht="24" customHeight="1">
      <c r="B9" s="113" t="s">
        <v>58</v>
      </c>
      <c r="C9" s="154">
        <v>55</v>
      </c>
      <c r="D9" s="127" t="s">
        <v>37</v>
      </c>
    </row>
    <row r="10" spans="2:4" s="6" customFormat="1" ht="24" customHeight="1">
      <c r="B10" s="111" t="s">
        <v>59</v>
      </c>
      <c r="C10" s="154">
        <v>20</v>
      </c>
      <c r="D10" s="127" t="s">
        <v>226</v>
      </c>
    </row>
    <row r="11" spans="2:4" s="6" customFormat="1" ht="24" customHeight="1">
      <c r="B11" s="111" t="s">
        <v>69</v>
      </c>
      <c r="C11" s="205">
        <v>2.75</v>
      </c>
      <c r="D11" s="127" t="s">
        <v>471</v>
      </c>
    </row>
    <row r="12" spans="2:4" s="6" customFormat="1" ht="24" customHeight="1">
      <c r="B12" s="113" t="s">
        <v>3</v>
      </c>
      <c r="C12" s="78">
        <f>IF(C5&gt;=0.5,(C13+C14),(C13-C14))</f>
        <v>2.8041673891433403</v>
      </c>
      <c r="D12" s="161" t="s">
        <v>24</v>
      </c>
    </row>
    <row r="13" spans="2:4" s="6" customFormat="1" ht="24" customHeight="1">
      <c r="B13" s="112" t="s">
        <v>229</v>
      </c>
      <c r="C13" s="78">
        <f>IF(C4=2,TINV(C3,C9*C10-2*C10-C8),TINV(C3*2,C9*C10-2*C10-C8))</f>
        <v>1.9622066084867755</v>
      </c>
      <c r="D13" s="161" t="s">
        <v>223</v>
      </c>
    </row>
    <row r="14" spans="2:4" s="6" customFormat="1" ht="24" customHeight="1">
      <c r="B14" s="112" t="s">
        <v>230</v>
      </c>
      <c r="C14" s="78">
        <f>IF(C5&gt;=0.5,TINV((1-C5)*2,C9*C10-2*C10-C8),TINV(C5*2,C9*C10-2*C10-C8))</f>
        <v>0.84196078065656488</v>
      </c>
      <c r="D14" s="161" t="s">
        <v>224</v>
      </c>
    </row>
    <row r="15" spans="2:4" s="175" customFormat="1" ht="24" customHeight="1">
      <c r="B15" s="207" t="s">
        <v>6</v>
      </c>
      <c r="C15" s="200">
        <f>$C$12*SQRT((1-$C$7)/($C$6*(1-$C$6)*$C$9*C10))*SQRT(C11)</f>
        <v>0.19828457764454324</v>
      </c>
      <c r="D15" s="208" t="s">
        <v>7</v>
      </c>
    </row>
    <row r="16" spans="2:4" s="6" customFormat="1" ht="24" customHeight="1">
      <c r="B16" s="209"/>
      <c r="C16" s="206">
        <v>0.8</v>
      </c>
      <c r="D16" s="128" t="s">
        <v>358</v>
      </c>
    </row>
    <row r="17" spans="2:4" s="6" customFormat="1" ht="24" customHeight="1" thickBot="1">
      <c r="B17" s="210" t="s">
        <v>85</v>
      </c>
      <c r="C17" s="211">
        <f>1/(1-C16^2)</f>
        <v>2.7777777777777786</v>
      </c>
      <c r="D17" s="212"/>
    </row>
    <row r="19" spans="2:4" ht="18">
      <c r="B19" s="317" t="s">
        <v>32</v>
      </c>
      <c r="C19" s="317"/>
      <c r="D19" s="317"/>
    </row>
  </sheetData>
  <protectedRanges>
    <protectedRange password="CF7A" sqref="C12" name="Forbidden revising"/>
  </protectedRanges>
  <mergeCells count="2">
    <mergeCell ref="B19:D19"/>
    <mergeCell ref="B1:D1"/>
  </mergeCells>
  <phoneticPr fontId="0" type="noConversion"/>
  <printOptions horizontalCentered="1"/>
  <pageMargins left="1" right="1" top="1" bottom="1" header="0.5" footer="0.5"/>
  <pageSetup scale="65" fitToHeight="6" orientation="portrait" horizontalDpi="4294967293" r:id="rId1"/>
  <headerFooter>
    <oddFooter>&amp;L&amp;F&amp;A&amp;RPrinted:  &amp;D</oddFooter>
  </headerFooter>
  <ignoredErrors>
    <ignoredError sqref="C17" unlockedFormula="1"/>
  </ignoredErrors>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tabColor rgb="FF00B050"/>
    <pageSetUpPr fitToPage="1"/>
  </sheetPr>
  <dimension ref="B1:D22"/>
  <sheetViews>
    <sheetView showGridLines="0" topLeftCell="A4" zoomScale="75" zoomScaleNormal="75" workbookViewId="0">
      <selection activeCell="J10" sqref="J10"/>
    </sheetView>
  </sheetViews>
  <sheetFormatPr defaultColWidth="9.08984375" defaultRowHeight="18"/>
  <cols>
    <col min="1" max="1" width="2" style="39" customWidth="1"/>
    <col min="2" max="2" width="39.81640625" style="39" customWidth="1"/>
    <col min="3" max="3" width="11.6328125" style="61" customWidth="1"/>
    <col min="4" max="4" width="108.6328125" style="68" customWidth="1"/>
    <col min="5" max="7" width="10.36328125" style="39" bestFit="1" customWidth="1"/>
    <col min="8" max="16384" width="9.08984375" style="39"/>
  </cols>
  <sheetData>
    <row r="1" spans="2:4" s="67" customFormat="1" ht="46.75" customHeight="1">
      <c r="B1" s="330" t="s">
        <v>355</v>
      </c>
      <c r="C1" s="331"/>
      <c r="D1" s="332"/>
    </row>
    <row r="2" spans="2:4" s="67" customFormat="1" ht="24" customHeight="1">
      <c r="B2" s="110" t="s">
        <v>0</v>
      </c>
      <c r="C2" s="178"/>
      <c r="D2" s="181" t="s">
        <v>1</v>
      </c>
    </row>
    <row r="3" spans="2:4" s="67" customFormat="1" ht="24" customHeight="1">
      <c r="B3" s="112" t="s">
        <v>111</v>
      </c>
      <c r="C3" s="97">
        <v>0.05</v>
      </c>
      <c r="D3" s="158" t="s">
        <v>411</v>
      </c>
    </row>
    <row r="4" spans="2:4" s="67" customFormat="1" ht="24" customHeight="1">
      <c r="B4" s="113" t="s">
        <v>36</v>
      </c>
      <c r="C4" s="97">
        <v>2</v>
      </c>
      <c r="D4" s="158"/>
    </row>
    <row r="5" spans="2:4" s="67" customFormat="1" ht="24" customHeight="1">
      <c r="B5" s="113" t="s">
        <v>94</v>
      </c>
      <c r="C5" s="98">
        <v>0.8</v>
      </c>
      <c r="D5" s="158" t="s">
        <v>91</v>
      </c>
    </row>
    <row r="6" spans="2:4" s="67" customFormat="1" ht="24" customHeight="1">
      <c r="B6" s="111" t="s">
        <v>258</v>
      </c>
      <c r="C6" s="99">
        <v>0.15</v>
      </c>
      <c r="D6" s="127" t="s">
        <v>472</v>
      </c>
    </row>
    <row r="7" spans="2:4" s="67" customFormat="1" ht="39" customHeight="1">
      <c r="B7" s="111"/>
      <c r="C7" s="144">
        <v>0.2</v>
      </c>
      <c r="D7" s="127" t="s">
        <v>256</v>
      </c>
    </row>
    <row r="8" spans="2:4" s="67" customFormat="1" ht="24" customHeight="1">
      <c r="B8" s="113" t="s">
        <v>259</v>
      </c>
      <c r="C8" s="99">
        <v>0.5</v>
      </c>
      <c r="D8" s="129" t="s">
        <v>273</v>
      </c>
    </row>
    <row r="9" spans="2:4" s="67" customFormat="1" ht="24" customHeight="1">
      <c r="B9" s="114" t="s">
        <v>2</v>
      </c>
      <c r="C9" s="144">
        <v>0.5</v>
      </c>
      <c r="D9" s="127" t="s">
        <v>473</v>
      </c>
    </row>
    <row r="10" spans="2:4" s="67" customFormat="1" ht="24" customHeight="1">
      <c r="B10" s="114" t="s">
        <v>115</v>
      </c>
      <c r="C10" s="144">
        <v>0.1</v>
      </c>
      <c r="D10" s="127" t="s">
        <v>356</v>
      </c>
    </row>
    <row r="11" spans="2:4" s="67" customFormat="1" ht="24" customHeight="1">
      <c r="B11" s="114" t="s">
        <v>260</v>
      </c>
      <c r="C11" s="153">
        <v>1</v>
      </c>
      <c r="D11" s="127" t="s">
        <v>234</v>
      </c>
    </row>
    <row r="12" spans="2:4" s="10" customFormat="1" ht="24" customHeight="1">
      <c r="B12" s="113" t="s">
        <v>26</v>
      </c>
      <c r="C12" s="154">
        <v>20</v>
      </c>
      <c r="D12" s="129" t="s">
        <v>37</v>
      </c>
    </row>
    <row r="13" spans="2:4" s="67" customFormat="1" ht="24" customHeight="1">
      <c r="B13" s="111" t="s">
        <v>27</v>
      </c>
      <c r="C13" s="154">
        <v>40</v>
      </c>
      <c r="D13" s="127" t="s">
        <v>357</v>
      </c>
    </row>
    <row r="14" spans="2:4" s="67" customFormat="1" ht="24" customHeight="1">
      <c r="B14" s="111" t="s">
        <v>69</v>
      </c>
      <c r="C14" s="213">
        <v>2.75</v>
      </c>
      <c r="D14" s="127" t="s">
        <v>474</v>
      </c>
    </row>
    <row r="15" spans="2:4" s="67" customFormat="1" ht="24" customHeight="1">
      <c r="B15" s="152" t="s">
        <v>88</v>
      </c>
      <c r="C15" s="78">
        <f>IF(C5&gt;=0.5,(C16+C17),(C16-C17))</f>
        <v>2.8755769203799146</v>
      </c>
      <c r="D15" s="127" t="s">
        <v>24</v>
      </c>
    </row>
    <row r="16" spans="2:4" s="67" customFormat="1" ht="24" customHeight="1">
      <c r="B16" s="141" t="s">
        <v>229</v>
      </c>
      <c r="C16" s="78">
        <f>IF(C4=2,TINV(C3,C13-C11-1),TINV(C3*2,C13-C11-1))</f>
        <v>2.0243941639119702</v>
      </c>
      <c r="D16" s="127" t="s">
        <v>62</v>
      </c>
    </row>
    <row r="17" spans="2:4" s="67" customFormat="1" ht="24" customHeight="1">
      <c r="B17" s="141" t="s">
        <v>230</v>
      </c>
      <c r="C17" s="78">
        <f>IF(C5&gt;=0.5,TINV((1-C5)*2,C13-C11-1),TINV(C5*2,C13-C11-1))</f>
        <v>0.8511827564679445</v>
      </c>
      <c r="D17" s="127" t="s">
        <v>276</v>
      </c>
    </row>
    <row r="18" spans="2:4" s="10" customFormat="1" ht="24" customHeight="1">
      <c r="B18" s="215" t="s">
        <v>92</v>
      </c>
      <c r="C18" s="214">
        <f>C$15*SQRT(C$6*C7*(1-C$10)/(C$13)+(1-C$6)*(1-C$9)*C14/(C$8*(1-C$8)*C$13*C$12))</f>
        <v>0.23217056173610767</v>
      </c>
      <c r="D18" s="216" t="s">
        <v>221</v>
      </c>
    </row>
    <row r="19" spans="2:4" s="10" customFormat="1" ht="24" customHeight="1">
      <c r="B19" s="209"/>
      <c r="C19" s="206">
        <v>0.8</v>
      </c>
      <c r="D19" s="128" t="s">
        <v>359</v>
      </c>
    </row>
    <row r="20" spans="2:4" s="10" customFormat="1" ht="24" customHeight="1" thickBot="1">
      <c r="B20" s="210" t="s">
        <v>85</v>
      </c>
      <c r="C20" s="211">
        <f>1/(1-C19^2)</f>
        <v>2.7777777777777786</v>
      </c>
      <c r="D20" s="217" t="s">
        <v>475</v>
      </c>
    </row>
    <row r="22" spans="2:4">
      <c r="B22" s="38" t="s">
        <v>32</v>
      </c>
      <c r="C22" s="65"/>
      <c r="D22" s="70"/>
    </row>
  </sheetData>
  <protectedRanges>
    <protectedRange password="CF7A" sqref="C15:C18" name="Forbidden revising"/>
  </protectedRanges>
  <mergeCells count="1">
    <mergeCell ref="B1:D1"/>
  </mergeCells>
  <phoneticPr fontId="9" type="noConversion"/>
  <printOptions horizontalCentered="1"/>
  <pageMargins left="1" right="1" top="1" bottom="1" header="0.5" footer="0.5"/>
  <pageSetup scale="50" orientation="portrait" horizontalDpi="4294967293" r:id="rId1"/>
  <headerFooter>
    <oddFooter>&amp;L&amp;F&amp;A&amp;RPrinted:  &amp;D</oddFooter>
  </headerFooter>
  <ignoredErrors>
    <ignoredError sqref="C20" unlockedFormula="1"/>
  </ignoredErrors>
  <drawing r:id="rId2"/>
  <legacyDrawing r:id="rId3"/>
  <oleObjects>
    <mc:AlternateContent xmlns:mc="http://schemas.openxmlformats.org/markup-compatibility/2006">
      <mc:Choice Requires="x14">
        <oleObject progId="Equation.3" shapeId="36866" r:id="rId4">
          <objectPr defaultSize="0" autoPict="0" r:id="rId5">
            <anchor moveWithCells="1" sizeWithCells="1">
              <from>
                <xdr:col>1</xdr:col>
                <xdr:colOff>69850</xdr:colOff>
                <xdr:row>6</xdr:row>
                <xdr:rowOff>152400</xdr:rowOff>
              </from>
              <to>
                <xdr:col>1</xdr:col>
                <xdr:colOff>425450</xdr:colOff>
                <xdr:row>6</xdr:row>
                <xdr:rowOff>336550</xdr:rowOff>
              </to>
            </anchor>
          </objectPr>
        </oleObject>
      </mc:Choice>
      <mc:Fallback>
        <oleObject progId="Equation.3" shapeId="36866" r:id="rId4"/>
      </mc:Fallback>
    </mc:AlternateContent>
    <mc:AlternateContent xmlns:mc="http://schemas.openxmlformats.org/markup-compatibility/2006">
      <mc:Choice Requires="x14">
        <oleObject progId="Equation.3" shapeId="2" r:id="rId6">
          <objectPr defaultSize="0" autoPict="0" r:id="rId7">
            <anchor moveWithCells="1" sizeWithCells="1">
              <from>
                <xdr:col>3</xdr:col>
                <xdr:colOff>2051050</xdr:colOff>
                <xdr:row>6</xdr:row>
                <xdr:rowOff>196850</xdr:rowOff>
              </from>
              <to>
                <xdr:col>3</xdr:col>
                <xdr:colOff>2705100</xdr:colOff>
                <xdr:row>7</xdr:row>
                <xdr:rowOff>6350</xdr:rowOff>
              </to>
            </anchor>
          </objectPr>
        </oleObject>
      </mc:Choice>
      <mc:Fallback>
        <oleObject progId="Equation.3" shapeId="36868" r:id="rId6"/>
      </mc:Fallback>
    </mc:AlternateContent>
  </oleObjec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tabColor rgb="FF00B050"/>
    <pageSetUpPr fitToPage="1"/>
  </sheetPr>
  <dimension ref="B1:D21"/>
  <sheetViews>
    <sheetView showGridLines="0" zoomScale="75" zoomScaleNormal="75" workbookViewId="0">
      <selection activeCell="H21" sqref="H21"/>
    </sheetView>
  </sheetViews>
  <sheetFormatPr defaultColWidth="9.08984375" defaultRowHeight="18"/>
  <cols>
    <col min="1" max="1" width="2.54296875" style="68" customWidth="1"/>
    <col min="2" max="2" width="38.1796875" style="68" customWidth="1"/>
    <col min="3" max="3" width="11.6328125" style="69" customWidth="1"/>
    <col min="4" max="4" width="98.1796875" style="68" customWidth="1"/>
    <col min="5" max="16384" width="9.08984375" style="68"/>
  </cols>
  <sheetData>
    <row r="1" spans="2:4" s="10" customFormat="1" ht="48" customHeight="1">
      <c r="B1" s="333" t="s">
        <v>283</v>
      </c>
      <c r="C1" s="334"/>
      <c r="D1" s="335"/>
    </row>
    <row r="2" spans="2:4" s="10" customFormat="1" ht="24.65" customHeight="1">
      <c r="B2" s="110" t="s">
        <v>0</v>
      </c>
      <c r="C2" s="74"/>
      <c r="D2" s="126" t="s">
        <v>1</v>
      </c>
    </row>
    <row r="3" spans="2:4" s="10" customFormat="1" ht="24.65" customHeight="1">
      <c r="B3" s="112" t="s">
        <v>111</v>
      </c>
      <c r="C3" s="97">
        <v>0.05</v>
      </c>
      <c r="D3" s="158" t="s">
        <v>411</v>
      </c>
    </row>
    <row r="4" spans="2:4" s="10" customFormat="1" ht="24.65" customHeight="1">
      <c r="B4" s="113" t="s">
        <v>36</v>
      </c>
      <c r="C4" s="97">
        <v>2</v>
      </c>
      <c r="D4" s="158"/>
    </row>
    <row r="5" spans="2:4" s="10" customFormat="1" ht="24.65" customHeight="1">
      <c r="B5" s="113" t="s">
        <v>94</v>
      </c>
      <c r="C5" s="98">
        <v>0.8</v>
      </c>
      <c r="D5" s="158" t="s">
        <v>91</v>
      </c>
    </row>
    <row r="6" spans="2:4" s="10" customFormat="1" ht="24.65" customHeight="1">
      <c r="B6" s="111" t="s">
        <v>4</v>
      </c>
      <c r="C6" s="144">
        <v>0.15</v>
      </c>
      <c r="D6" s="127" t="s">
        <v>462</v>
      </c>
    </row>
    <row r="7" spans="2:4" s="10" customFormat="1" ht="24.65" customHeight="1">
      <c r="B7" s="113" t="s">
        <v>10</v>
      </c>
      <c r="C7" s="144">
        <v>0.5</v>
      </c>
      <c r="D7" s="129" t="s">
        <v>360</v>
      </c>
    </row>
    <row r="8" spans="2:4" s="10" customFormat="1" ht="24.65" customHeight="1">
      <c r="B8" s="114" t="s">
        <v>2</v>
      </c>
      <c r="C8" s="144">
        <v>0.5</v>
      </c>
      <c r="D8" s="127" t="s">
        <v>438</v>
      </c>
    </row>
    <row r="9" spans="2:4" s="10" customFormat="1" ht="24.65" customHeight="1">
      <c r="B9" s="114" t="s">
        <v>51</v>
      </c>
      <c r="C9" s="144">
        <v>0.5</v>
      </c>
      <c r="D9" s="127" t="s">
        <v>469</v>
      </c>
    </row>
    <row r="10" spans="2:4" s="10" customFormat="1" ht="24.65" customHeight="1">
      <c r="B10" s="114" t="s">
        <v>5</v>
      </c>
      <c r="C10" s="153">
        <v>1</v>
      </c>
      <c r="D10" s="127" t="s">
        <v>361</v>
      </c>
    </row>
    <row r="11" spans="2:4" s="10" customFormat="1" ht="24.65" customHeight="1">
      <c r="B11" s="113" t="s">
        <v>26</v>
      </c>
      <c r="C11" s="154">
        <v>55</v>
      </c>
      <c r="D11" s="129" t="s">
        <v>37</v>
      </c>
    </row>
    <row r="12" spans="2:4" s="10" customFormat="1" ht="24.65" customHeight="1">
      <c r="B12" s="111" t="s">
        <v>27</v>
      </c>
      <c r="C12" s="154">
        <v>179</v>
      </c>
      <c r="D12" s="127" t="s">
        <v>226</v>
      </c>
    </row>
    <row r="13" spans="2:4" s="10" customFormat="1" ht="24.65" customHeight="1">
      <c r="B13" s="111" t="s">
        <v>69</v>
      </c>
      <c r="C13" s="205">
        <v>2.75</v>
      </c>
      <c r="D13" s="127" t="s">
        <v>474</v>
      </c>
    </row>
    <row r="14" spans="2:4" s="10" customFormat="1" ht="24.65" customHeight="1">
      <c r="B14" s="152" t="s">
        <v>3</v>
      </c>
      <c r="C14" s="78">
        <f>IF(C5&gt;=0.5,(C15+C16),(C15-C16))</f>
        <v>2.8172026689192693</v>
      </c>
      <c r="D14" s="127" t="s">
        <v>24</v>
      </c>
    </row>
    <row r="15" spans="2:4" s="10" customFormat="1" ht="24.65" customHeight="1">
      <c r="B15" s="141" t="s">
        <v>229</v>
      </c>
      <c r="C15" s="78">
        <f>IF(C4=2,TINV(C3,C12-C10-2),TINV(C3*2,C12-C10-2))</f>
        <v>1.9735343877061042</v>
      </c>
      <c r="D15" s="127" t="s">
        <v>362</v>
      </c>
    </row>
    <row r="16" spans="2:4" s="10" customFormat="1" ht="24.65" customHeight="1">
      <c r="B16" s="141" t="s">
        <v>230</v>
      </c>
      <c r="C16" s="78">
        <f>IF(C5&gt;=0.5,TINV((1-C5)*2,C12-C10-2),TINV(C5*2,C12-C10-2))</f>
        <v>0.84366828121316528</v>
      </c>
      <c r="D16" s="127" t="s">
        <v>63</v>
      </c>
    </row>
    <row r="17" spans="2:4" s="10" customFormat="1" ht="24.65" customHeight="1">
      <c r="B17" s="215" t="s">
        <v>6</v>
      </c>
      <c r="C17" s="200">
        <f>C$14*SQRT(C13)*SQRT(C$6*(1-C$9)/(C$7*(1-C$7)*C$12)+(1-C$6)*(1-C$8)/(C$7*(1-C$7)*C$12*C$11))</f>
        <v>0.20086870136644497</v>
      </c>
      <c r="D17" s="216" t="s">
        <v>7</v>
      </c>
    </row>
    <row r="18" spans="2:4" s="10" customFormat="1" ht="24.65" customHeight="1">
      <c r="B18" s="209"/>
      <c r="C18" s="206">
        <v>0.8</v>
      </c>
      <c r="D18" s="128" t="s">
        <v>363</v>
      </c>
    </row>
    <row r="19" spans="2:4" s="10" customFormat="1" ht="24.65" customHeight="1" thickBot="1">
      <c r="B19" s="210" t="s">
        <v>85</v>
      </c>
      <c r="C19" s="211">
        <f>1/(1-C18^2)</f>
        <v>2.7777777777777786</v>
      </c>
      <c r="D19" s="217" t="s">
        <v>475</v>
      </c>
    </row>
    <row r="20" spans="2:4" ht="23.25" customHeight="1"/>
    <row r="21" spans="2:4">
      <c r="B21" s="70" t="s">
        <v>32</v>
      </c>
      <c r="C21" s="71"/>
      <c r="D21" s="70"/>
    </row>
  </sheetData>
  <protectedRanges>
    <protectedRange password="CF7A" sqref="C14:C17" name="Forbidden revising"/>
  </protectedRanges>
  <mergeCells count="1">
    <mergeCell ref="B1:D1"/>
  </mergeCells>
  <phoneticPr fontId="0" type="noConversion"/>
  <printOptions horizontalCentered="1"/>
  <pageMargins left="1" right="1" top="1" bottom="1" header="0.5" footer="0.5"/>
  <pageSetup scale="56" fitToHeight="6" orientation="portrait" horizontalDpi="4294967293" r:id="rId1"/>
  <headerFooter>
    <oddFooter>&amp;L&amp;F&amp;A&amp;RPrinted:  &amp;D</oddFooter>
  </headerFooter>
  <ignoredErrors>
    <ignoredError sqref="C19" unlocked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3">
    <tabColor rgb="FF00B050"/>
    <pageSetUpPr fitToPage="1"/>
  </sheetPr>
  <dimension ref="B1:D24"/>
  <sheetViews>
    <sheetView showGridLines="0" topLeftCell="A7" zoomScale="80" zoomScaleNormal="80" workbookViewId="0">
      <selection activeCell="I25" sqref="I25"/>
    </sheetView>
  </sheetViews>
  <sheetFormatPr defaultColWidth="9.08984375" defaultRowHeight="18"/>
  <cols>
    <col min="1" max="1" width="2.6328125" style="39" customWidth="1"/>
    <col min="2" max="2" width="41.08984375" style="39" customWidth="1"/>
    <col min="3" max="3" width="11.6328125" style="61" customWidth="1"/>
    <col min="4" max="4" width="98.36328125" style="39" customWidth="1"/>
    <col min="5" max="16384" width="9.08984375" style="39"/>
  </cols>
  <sheetData>
    <row r="1" spans="2:4" s="10" customFormat="1" ht="40.75" customHeight="1">
      <c r="B1" s="330" t="s">
        <v>366</v>
      </c>
      <c r="C1" s="331"/>
      <c r="D1" s="332"/>
    </row>
    <row r="2" spans="2:4" s="10" customFormat="1" ht="22.25" customHeight="1">
      <c r="B2" s="110" t="s">
        <v>0</v>
      </c>
      <c r="C2" s="74"/>
      <c r="D2" s="126" t="s">
        <v>1</v>
      </c>
    </row>
    <row r="3" spans="2:4" s="10" customFormat="1" ht="22.25" customHeight="1">
      <c r="B3" s="112" t="s">
        <v>111</v>
      </c>
      <c r="C3" s="97">
        <v>0.05</v>
      </c>
      <c r="D3" s="158" t="s">
        <v>411</v>
      </c>
    </row>
    <row r="4" spans="2:4" s="10" customFormat="1" ht="22.25" customHeight="1">
      <c r="B4" s="113" t="s">
        <v>36</v>
      </c>
      <c r="C4" s="97">
        <v>2</v>
      </c>
      <c r="D4" s="158"/>
    </row>
    <row r="5" spans="2:4" s="10" customFormat="1" ht="22.25" customHeight="1">
      <c r="B5" s="113" t="s">
        <v>94</v>
      </c>
      <c r="C5" s="98">
        <v>0.8</v>
      </c>
      <c r="D5" s="158" t="s">
        <v>91</v>
      </c>
    </row>
    <row r="6" spans="2:4" s="10" customFormat="1" ht="22.25" customHeight="1">
      <c r="B6" s="114" t="s">
        <v>18</v>
      </c>
      <c r="C6" s="99">
        <v>0.15</v>
      </c>
      <c r="D6" s="127" t="s">
        <v>445</v>
      </c>
    </row>
    <row r="7" spans="2:4" s="10" customFormat="1" ht="22.25" customHeight="1">
      <c r="B7" s="114" t="s">
        <v>50</v>
      </c>
      <c r="C7" s="99">
        <v>0.15</v>
      </c>
      <c r="D7" s="127" t="s">
        <v>476</v>
      </c>
    </row>
    <row r="8" spans="2:4" s="10" customFormat="1" ht="22.25" customHeight="1">
      <c r="B8" s="113" t="s">
        <v>10</v>
      </c>
      <c r="C8" s="99">
        <v>0.5</v>
      </c>
      <c r="D8" s="129" t="s">
        <v>38</v>
      </c>
    </row>
    <row r="9" spans="2:4" s="10" customFormat="1" ht="22.25" customHeight="1">
      <c r="B9" s="114" t="s">
        <v>2</v>
      </c>
      <c r="C9" s="99">
        <v>0.5</v>
      </c>
      <c r="D9" s="127" t="s">
        <v>477</v>
      </c>
    </row>
    <row r="10" spans="2:4" s="10" customFormat="1" ht="22.25" customHeight="1">
      <c r="B10" s="114" t="s">
        <v>51</v>
      </c>
      <c r="C10" s="99">
        <v>0.5</v>
      </c>
      <c r="D10" s="127" t="s">
        <v>478</v>
      </c>
    </row>
    <row r="11" spans="2:4" s="10" customFormat="1" ht="22.25" customHeight="1">
      <c r="B11" s="114" t="s">
        <v>55</v>
      </c>
      <c r="C11" s="99">
        <v>0.5</v>
      </c>
      <c r="D11" s="127" t="s">
        <v>479</v>
      </c>
    </row>
    <row r="12" spans="2:4" s="10" customFormat="1" ht="22.25" customHeight="1">
      <c r="B12" s="113" t="s">
        <v>19</v>
      </c>
      <c r="C12" s="100">
        <v>1</v>
      </c>
      <c r="D12" s="127" t="s">
        <v>31</v>
      </c>
    </row>
    <row r="13" spans="2:4" s="10" customFormat="1" ht="22.25" customHeight="1">
      <c r="B13" s="113" t="s">
        <v>39</v>
      </c>
      <c r="C13" s="101">
        <v>18</v>
      </c>
      <c r="D13" s="127" t="s">
        <v>41</v>
      </c>
    </row>
    <row r="14" spans="2:4" s="10" customFormat="1" ht="22.25" customHeight="1">
      <c r="B14" s="111" t="s">
        <v>40</v>
      </c>
      <c r="C14" s="101">
        <v>3</v>
      </c>
      <c r="D14" s="127" t="s">
        <v>42</v>
      </c>
    </row>
    <row r="15" spans="2:4" s="10" customFormat="1" ht="22.25" customHeight="1">
      <c r="B15" s="111" t="s">
        <v>28</v>
      </c>
      <c r="C15" s="96">
        <v>230</v>
      </c>
      <c r="D15" s="129" t="s">
        <v>29</v>
      </c>
    </row>
    <row r="16" spans="2:4" s="10" customFormat="1" ht="22.25" customHeight="1">
      <c r="B16" s="111" t="s">
        <v>69</v>
      </c>
      <c r="C16" s="205">
        <v>2.75</v>
      </c>
      <c r="D16" s="127" t="s">
        <v>471</v>
      </c>
    </row>
    <row r="17" spans="2:4" s="10" customFormat="1" ht="22.25" customHeight="1">
      <c r="B17" s="113" t="s">
        <v>3</v>
      </c>
      <c r="C17" s="78">
        <f>IF(C5&gt;=0.5,(C18+C19),(C18-C19))</f>
        <v>2.8136770532263227</v>
      </c>
      <c r="D17" s="127" t="s">
        <v>24</v>
      </c>
    </row>
    <row r="18" spans="2:4" s="10" customFormat="1" ht="22.25" customHeight="1">
      <c r="B18" s="112" t="s">
        <v>229</v>
      </c>
      <c r="C18" s="78">
        <f>IF(C4=2,TINV(C3,C15-C12-2),TINV(C3*2,C15-C12-2))</f>
        <v>1.9704695126514764</v>
      </c>
      <c r="D18" s="127" t="s">
        <v>62</v>
      </c>
    </row>
    <row r="19" spans="2:4" s="10" customFormat="1" ht="22.25" customHeight="1">
      <c r="B19" s="112" t="s">
        <v>230</v>
      </c>
      <c r="C19" s="78">
        <f>IF(C5&gt;=0.5,TINV((1-C5)*2,C15-C12-2),TINV(C5*2,C15-C12-2))</f>
        <v>0.84320754057484626</v>
      </c>
      <c r="D19" s="127" t="s">
        <v>63</v>
      </c>
    </row>
    <row r="20" spans="2:4" s="10" customFormat="1" ht="22.25" customHeight="1">
      <c r="B20" s="207" t="s">
        <v>6</v>
      </c>
      <c r="C20" s="200">
        <f>$C$17*SQRT(C16)*SQRT($C$6*(1-$C$11)/($C$8*(1-$C$8)*$C$15)+$C$7*(1-$C$10)/($C$8*(1-$C$8)*$C$14*$C$15)+(1-$C$7-$C$6)*(1-$C$9)/($C$8*(1-$C$8)*$C$14*$C$13*$C$15))</f>
        <v>0.20079075638858476</v>
      </c>
      <c r="D20" s="208" t="s">
        <v>7</v>
      </c>
    </row>
    <row r="21" spans="2:4" s="10" customFormat="1" ht="22.25" customHeight="1">
      <c r="B21" s="209"/>
      <c r="C21" s="206">
        <v>0.8</v>
      </c>
      <c r="D21" s="182" t="s">
        <v>84</v>
      </c>
    </row>
    <row r="22" spans="2:4" s="10" customFormat="1" ht="22.25" customHeight="1" thickBot="1">
      <c r="B22" s="210" t="s">
        <v>85</v>
      </c>
      <c r="C22" s="211">
        <f>1/(1-C21^2)</f>
        <v>2.7777777777777786</v>
      </c>
      <c r="D22" s="217" t="s">
        <v>475</v>
      </c>
    </row>
    <row r="24" spans="2:4">
      <c r="B24" s="317" t="s">
        <v>32</v>
      </c>
      <c r="C24" s="317"/>
      <c r="D24" s="317"/>
    </row>
  </sheetData>
  <mergeCells count="2">
    <mergeCell ref="B24:D24"/>
    <mergeCell ref="B1:D1"/>
  </mergeCells>
  <phoneticPr fontId="9" type="noConversion"/>
  <printOptions horizontalCentered="1"/>
  <pageMargins left="1" right="1" top="1" bottom="1" header="0.5" footer="0.5"/>
  <pageSetup scale="61" fitToHeight="6" orientation="portrait" horizontalDpi="4294967293" r:id="rId1"/>
  <headerFooter>
    <oddFooter>&amp;L&amp;F&amp;A&amp;RPrinted:  &amp;D</oddFooter>
  </headerFooter>
  <ignoredErrors>
    <ignoredError sqref="C22" unlockedFormula="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9">
    <tabColor rgb="FF00B050"/>
    <pageSetUpPr fitToPage="1"/>
  </sheetPr>
  <dimension ref="B1:D22"/>
  <sheetViews>
    <sheetView showGridLines="0" zoomScale="90" zoomScaleNormal="90" workbookViewId="0">
      <selection activeCell="G24" sqref="G24"/>
    </sheetView>
  </sheetViews>
  <sheetFormatPr defaultColWidth="9.08984375" defaultRowHeight="18"/>
  <cols>
    <col min="1" max="1" width="3.08984375" style="39" customWidth="1"/>
    <col min="2" max="2" width="40.90625" style="39" customWidth="1"/>
    <col min="3" max="3" width="11.6328125" style="61" customWidth="1"/>
    <col min="4" max="4" width="98.453125" style="39" customWidth="1"/>
    <col min="5" max="16384" width="9.08984375" style="39"/>
  </cols>
  <sheetData>
    <row r="1" spans="2:4" s="10" customFormat="1" ht="43.75" customHeight="1">
      <c r="B1" s="330" t="s">
        <v>365</v>
      </c>
      <c r="C1" s="331"/>
      <c r="D1" s="332"/>
    </row>
    <row r="2" spans="2:4" s="10" customFormat="1" ht="20.399999999999999" customHeight="1">
      <c r="B2" s="110" t="s">
        <v>0</v>
      </c>
      <c r="C2" s="74"/>
      <c r="D2" s="126" t="s">
        <v>1</v>
      </c>
    </row>
    <row r="3" spans="2:4" s="10" customFormat="1" ht="20.399999999999999" customHeight="1">
      <c r="B3" s="112" t="s">
        <v>111</v>
      </c>
      <c r="C3" s="97">
        <v>0.05</v>
      </c>
      <c r="D3" s="158" t="s">
        <v>411</v>
      </c>
    </row>
    <row r="4" spans="2:4" s="10" customFormat="1" ht="20.399999999999999" customHeight="1">
      <c r="B4" s="113" t="s">
        <v>36</v>
      </c>
      <c r="C4" s="97">
        <v>2</v>
      </c>
      <c r="D4" s="158"/>
    </row>
    <row r="5" spans="2:4" s="10" customFormat="1" ht="20.399999999999999" customHeight="1">
      <c r="B5" s="113" t="s">
        <v>94</v>
      </c>
      <c r="C5" s="98">
        <v>0.8</v>
      </c>
      <c r="D5" s="158" t="s">
        <v>91</v>
      </c>
    </row>
    <row r="6" spans="2:4" s="10" customFormat="1" ht="20.399999999999999" customHeight="1">
      <c r="B6" s="114" t="s">
        <v>50</v>
      </c>
      <c r="C6" s="99">
        <v>0.15</v>
      </c>
      <c r="D6" s="127" t="s">
        <v>481</v>
      </c>
    </row>
    <row r="7" spans="2:4" s="67" customFormat="1" ht="20.399999999999999" customHeight="1">
      <c r="B7" s="113" t="s">
        <v>10</v>
      </c>
      <c r="C7" s="99">
        <v>0.5</v>
      </c>
      <c r="D7" s="127" t="s">
        <v>75</v>
      </c>
    </row>
    <row r="8" spans="2:4" s="10" customFormat="1" ht="20.399999999999999" customHeight="1">
      <c r="B8" s="114" t="s">
        <v>2</v>
      </c>
      <c r="C8" s="99">
        <v>0.5</v>
      </c>
      <c r="D8" s="127" t="s">
        <v>467</v>
      </c>
    </row>
    <row r="9" spans="2:4" s="10" customFormat="1" ht="20.399999999999999" customHeight="1">
      <c r="B9" s="114" t="s">
        <v>51</v>
      </c>
      <c r="C9" s="99">
        <v>0.5</v>
      </c>
      <c r="D9" s="127" t="s">
        <v>482</v>
      </c>
    </row>
    <row r="10" spans="2:4" s="67" customFormat="1" ht="20.399999999999999" customHeight="1">
      <c r="B10" s="113" t="s">
        <v>52</v>
      </c>
      <c r="C10" s="100">
        <v>0</v>
      </c>
      <c r="D10" s="127" t="s">
        <v>61</v>
      </c>
    </row>
    <row r="11" spans="2:4" s="67" customFormat="1" ht="20.399999999999999" customHeight="1">
      <c r="B11" s="113" t="s">
        <v>39</v>
      </c>
      <c r="C11" s="101">
        <v>18</v>
      </c>
      <c r="D11" s="127" t="s">
        <v>41</v>
      </c>
    </row>
    <row r="12" spans="2:4" s="10" customFormat="1" ht="20.399999999999999" customHeight="1">
      <c r="B12" s="111" t="s">
        <v>40</v>
      </c>
      <c r="C12" s="101">
        <v>3</v>
      </c>
      <c r="D12" s="127" t="s">
        <v>42</v>
      </c>
    </row>
    <row r="13" spans="2:4" s="10" customFormat="1" ht="20.399999999999999" customHeight="1">
      <c r="B13" s="111" t="s">
        <v>28</v>
      </c>
      <c r="C13" s="96">
        <v>71</v>
      </c>
      <c r="D13" s="129" t="s">
        <v>29</v>
      </c>
    </row>
    <row r="14" spans="2:4" s="10" customFormat="1" ht="20.399999999999999" customHeight="1">
      <c r="B14" s="111" t="s">
        <v>69</v>
      </c>
      <c r="C14" s="205">
        <v>2.75</v>
      </c>
      <c r="D14" s="127" t="s">
        <v>474</v>
      </c>
    </row>
    <row r="15" spans="2:4" s="10" customFormat="1" ht="20.399999999999999" customHeight="1">
      <c r="B15" s="113" t="s">
        <v>3</v>
      </c>
      <c r="C15" s="78">
        <f>IF(C5&gt;=0.5,(C16+C17),(C16-C17))</f>
        <v>2.8209708296129792</v>
      </c>
      <c r="D15" s="127" t="s">
        <v>24</v>
      </c>
    </row>
    <row r="16" spans="2:4" s="10" customFormat="1" ht="20.399999999999999" customHeight="1">
      <c r="B16" s="112" t="s">
        <v>229</v>
      </c>
      <c r="C16" s="78">
        <f>IF(C4=2,TINV(C3,C13*(C12-1)-C10),TINV(C3*2,C13*(C12-1)-C10))</f>
        <v>1.9768109936328579</v>
      </c>
      <c r="D16" s="127" t="s">
        <v>62</v>
      </c>
    </row>
    <row r="17" spans="2:4" s="10" customFormat="1" ht="20.399999999999999" customHeight="1">
      <c r="B17" s="112" t="s">
        <v>230</v>
      </c>
      <c r="C17" s="78">
        <f>IF(C5&gt;=0.5,TINV((1-C5)*2,C13*(C12-1)-C10),TINV(C5*2,C13*(C12-1)-C10))</f>
        <v>0.84415983598012145</v>
      </c>
      <c r="D17" s="127" t="s">
        <v>63</v>
      </c>
    </row>
    <row r="18" spans="2:4" s="10" customFormat="1" ht="20.399999999999999" customHeight="1">
      <c r="B18" s="207" t="s">
        <v>6</v>
      </c>
      <c r="C18" s="200">
        <f>$C$15*SQRT($C$6*(1-$C$9)/(C7*(1-C7)*$C$12*$C$13)+(1-$C$6)*(1-$C$8)/(C7*(1-C7)*$C$12*$C$11*$C$13))*SQRT(C14)</f>
        <v>0.20131125780004797</v>
      </c>
      <c r="D18" s="208" t="s">
        <v>7</v>
      </c>
    </row>
    <row r="19" spans="2:4" s="10" customFormat="1" ht="20.399999999999999" customHeight="1">
      <c r="B19" s="209"/>
      <c r="C19" s="206">
        <v>0.8</v>
      </c>
      <c r="D19" s="182" t="s">
        <v>84</v>
      </c>
    </row>
    <row r="20" spans="2:4" s="10" customFormat="1" ht="20.399999999999999" customHeight="1" thickBot="1">
      <c r="B20" s="210" t="s">
        <v>85</v>
      </c>
      <c r="C20" s="211">
        <f>1/(1-C19^2)</f>
        <v>2.7777777777777786</v>
      </c>
      <c r="D20" s="217" t="s">
        <v>480</v>
      </c>
    </row>
    <row r="22" spans="2:4">
      <c r="B22" s="317" t="s">
        <v>32</v>
      </c>
      <c r="C22" s="317"/>
      <c r="D22" s="317"/>
    </row>
  </sheetData>
  <mergeCells count="2">
    <mergeCell ref="B22:D22"/>
    <mergeCell ref="B1:D1"/>
  </mergeCells>
  <phoneticPr fontId="19" type="noConversion"/>
  <printOptions horizontalCentered="1"/>
  <pageMargins left="1" right="1" top="1" bottom="1" header="0.5" footer="0.5"/>
  <pageSetup scale="61" fitToHeight="6" orientation="portrait" horizontalDpi="4294967293" r:id="rId1"/>
  <headerFooter>
    <oddFooter>&amp;L&amp;F&amp;A&amp;RPrinted:  &amp;D</oddFooter>
  </headerFooter>
  <ignoredErrors>
    <ignoredError sqref="C20" unlockedFormula="1"/>
  </ignoredErrors>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2">
    <tabColor rgb="FF00B050"/>
    <pageSetUpPr fitToPage="1"/>
  </sheetPr>
  <dimension ref="B1:D25"/>
  <sheetViews>
    <sheetView showGridLines="0" zoomScale="80" zoomScaleNormal="80" workbookViewId="0">
      <selection activeCell="G27" sqref="G27"/>
    </sheetView>
  </sheetViews>
  <sheetFormatPr defaultColWidth="9.08984375" defaultRowHeight="18"/>
  <cols>
    <col min="1" max="1" width="3.6328125" style="39" customWidth="1"/>
    <col min="2" max="2" width="39.54296875" style="39" customWidth="1"/>
    <col min="3" max="3" width="11.6328125" style="61" customWidth="1"/>
    <col min="4" max="4" width="97.36328125" style="39" customWidth="1"/>
    <col min="5" max="16384" width="9.08984375" style="39"/>
  </cols>
  <sheetData>
    <row r="1" spans="2:4" s="10" customFormat="1" ht="42" customHeight="1">
      <c r="B1" s="330" t="s">
        <v>364</v>
      </c>
      <c r="C1" s="331"/>
      <c r="D1" s="332"/>
    </row>
    <row r="2" spans="2:4" s="10" customFormat="1" ht="20.399999999999999" customHeight="1">
      <c r="B2" s="110" t="s">
        <v>0</v>
      </c>
      <c r="C2" s="178"/>
      <c r="D2" s="181" t="s">
        <v>1</v>
      </c>
    </row>
    <row r="3" spans="2:4" s="10" customFormat="1" ht="20.399999999999999" customHeight="1">
      <c r="B3" s="112" t="s">
        <v>111</v>
      </c>
      <c r="C3" s="97">
        <v>0.05</v>
      </c>
      <c r="D3" s="158" t="s">
        <v>411</v>
      </c>
    </row>
    <row r="4" spans="2:4" s="10" customFormat="1" ht="20.399999999999999" customHeight="1">
      <c r="B4" s="113" t="s">
        <v>36</v>
      </c>
      <c r="C4" s="97">
        <v>2</v>
      </c>
      <c r="D4" s="158"/>
    </row>
    <row r="5" spans="2:4" s="10" customFormat="1" ht="20.399999999999999" customHeight="1">
      <c r="B5" s="113" t="s">
        <v>94</v>
      </c>
      <c r="C5" s="98">
        <v>0.8</v>
      </c>
      <c r="D5" s="158" t="s">
        <v>91</v>
      </c>
    </row>
    <row r="6" spans="2:4" s="10" customFormat="1" ht="20.399999999999999" customHeight="1">
      <c r="B6" s="114" t="s">
        <v>18</v>
      </c>
      <c r="C6" s="144">
        <v>0.15</v>
      </c>
      <c r="D6" s="127" t="s">
        <v>451</v>
      </c>
    </row>
    <row r="7" spans="2:4" s="10" customFormat="1" ht="20.399999999999999" customHeight="1">
      <c r="B7" s="114" t="s">
        <v>50</v>
      </c>
      <c r="C7" s="144">
        <v>0.15</v>
      </c>
      <c r="D7" s="127" t="s">
        <v>476</v>
      </c>
    </row>
    <row r="8" spans="2:4" s="10" customFormat="1" ht="36.75" customHeight="1">
      <c r="B8" s="123"/>
      <c r="C8" s="144">
        <v>1</v>
      </c>
      <c r="D8" s="127" t="s">
        <v>266</v>
      </c>
    </row>
    <row r="9" spans="2:4" s="67" customFormat="1" ht="20.399999999999999" customHeight="1">
      <c r="B9" s="113" t="s">
        <v>10</v>
      </c>
      <c r="C9" s="144">
        <v>0.5</v>
      </c>
      <c r="D9" s="129" t="s">
        <v>254</v>
      </c>
    </row>
    <row r="10" spans="2:4" s="10" customFormat="1" ht="20.399999999999999" customHeight="1">
      <c r="B10" s="114" t="s">
        <v>2</v>
      </c>
      <c r="C10" s="144">
        <v>0.5</v>
      </c>
      <c r="D10" s="127" t="s">
        <v>483</v>
      </c>
    </row>
    <row r="11" spans="2:4" s="10" customFormat="1" ht="20.399999999999999" customHeight="1">
      <c r="B11" s="114" t="s">
        <v>51</v>
      </c>
      <c r="C11" s="144">
        <v>0.5</v>
      </c>
      <c r="D11" s="127" t="s">
        <v>469</v>
      </c>
    </row>
    <row r="12" spans="2:4" s="10" customFormat="1" ht="20.399999999999999" customHeight="1">
      <c r="B12" s="114" t="s">
        <v>116</v>
      </c>
      <c r="C12" s="144">
        <v>0.5</v>
      </c>
      <c r="D12" s="127" t="s">
        <v>269</v>
      </c>
    </row>
    <row r="13" spans="2:4" s="63" customFormat="1" ht="20.399999999999999" customHeight="1">
      <c r="B13" s="113" t="s">
        <v>19</v>
      </c>
      <c r="C13" s="153">
        <v>0</v>
      </c>
      <c r="D13" s="127" t="s">
        <v>241</v>
      </c>
    </row>
    <row r="14" spans="2:4" s="63" customFormat="1" ht="20.399999999999999" customHeight="1">
      <c r="B14" s="111" t="s">
        <v>28</v>
      </c>
      <c r="C14" s="96">
        <v>80</v>
      </c>
      <c r="D14" s="182" t="s">
        <v>255</v>
      </c>
    </row>
    <row r="15" spans="2:4" s="10" customFormat="1" ht="20.399999999999999" customHeight="1">
      <c r="B15" s="111" t="s">
        <v>69</v>
      </c>
      <c r="C15" s="205">
        <v>2.75</v>
      </c>
      <c r="D15" s="127" t="s">
        <v>471</v>
      </c>
    </row>
    <row r="16" spans="2:4" s="63" customFormat="1" ht="20.399999999999999" customHeight="1">
      <c r="B16" s="113" t="s">
        <v>39</v>
      </c>
      <c r="C16" s="218">
        <v>18</v>
      </c>
      <c r="D16" s="129" t="s">
        <v>41</v>
      </c>
    </row>
    <row r="17" spans="2:4" s="63" customFormat="1" ht="20.399999999999999" customHeight="1">
      <c r="B17" s="111" t="s">
        <v>40</v>
      </c>
      <c r="C17" s="218">
        <v>3</v>
      </c>
      <c r="D17" s="127" t="s">
        <v>42</v>
      </c>
    </row>
    <row r="18" spans="2:4" s="63" customFormat="1" ht="20.399999999999999" customHeight="1">
      <c r="B18" s="152" t="s">
        <v>3</v>
      </c>
      <c r="C18" s="78">
        <f>IF(C5&gt;=0.5,(C19+C20),(C19-C20))</f>
        <v>2.8366450207416918</v>
      </c>
      <c r="D18" s="127" t="s">
        <v>24</v>
      </c>
    </row>
    <row r="19" spans="2:4" s="10" customFormat="1" ht="20.399999999999999" customHeight="1">
      <c r="B19" s="141" t="s">
        <v>229</v>
      </c>
      <c r="C19" s="78">
        <f>IF(C4=2,TINV(C3,C14-C13-1),TINV(C3*2,C14-C13-1))</f>
        <v>1.9904502102301287</v>
      </c>
      <c r="D19" s="127" t="s">
        <v>62</v>
      </c>
    </row>
    <row r="20" spans="2:4" s="10" customFormat="1" ht="20.399999999999999" customHeight="1">
      <c r="B20" s="141" t="s">
        <v>230</v>
      </c>
      <c r="C20" s="78">
        <f>IF(C5&gt;=0.5,TINV((1-C5)*2,C14-C13-1),TINV(C5*2,C14-C13-1))</f>
        <v>0.84619481051156309</v>
      </c>
      <c r="D20" s="127" t="s">
        <v>63</v>
      </c>
    </row>
    <row r="21" spans="2:4" s="10" customFormat="1" ht="20.399999999999999" customHeight="1">
      <c r="B21" s="215" t="s">
        <v>6</v>
      </c>
      <c r="C21" s="200">
        <f>$C$18*SQRT($C$6*$C$8*(1-$C$12)/$C$14+(C15)*$C$7*(1-$C$11)/(C9*(1-C9)*$C$17*$C$14)+(C15)*(1-$C$7-$C$6)*(1-$C$10)/(C9*(1-C9)*$C$17*$C$16*$C$14))</f>
        <v>0.20585139689724527</v>
      </c>
      <c r="D21" s="216" t="s">
        <v>7</v>
      </c>
    </row>
    <row r="22" spans="2:4" s="10" customFormat="1" ht="20.399999999999999" customHeight="1">
      <c r="B22" s="209"/>
      <c r="C22" s="205">
        <v>0.8</v>
      </c>
      <c r="D22" s="128" t="s">
        <v>84</v>
      </c>
    </row>
    <row r="23" spans="2:4" s="10" customFormat="1" ht="20.399999999999999" customHeight="1" thickBot="1">
      <c r="B23" s="210" t="s">
        <v>85</v>
      </c>
      <c r="C23" s="211">
        <f>1/(1-C22^2)</f>
        <v>2.7777777777777786</v>
      </c>
      <c r="D23" s="217" t="s">
        <v>480</v>
      </c>
    </row>
    <row r="25" spans="2:4">
      <c r="B25" s="38" t="s">
        <v>32</v>
      </c>
      <c r="C25" s="65"/>
      <c r="D25" s="38"/>
    </row>
  </sheetData>
  <mergeCells count="1">
    <mergeCell ref="B1:D1"/>
  </mergeCells>
  <phoneticPr fontId="19" type="noConversion"/>
  <printOptions horizontalCentered="1"/>
  <pageMargins left="1" right="1" top="1" bottom="1" header="0.5" footer="0.5"/>
  <pageSetup scale="56" fitToHeight="6" orientation="portrait" horizontalDpi="4294967293" r:id="rId1"/>
  <headerFooter>
    <oddFooter>&amp;L&amp;F&amp;A&amp;RPrinted:  &amp;D</oddFooter>
  </headerFooter>
  <ignoredErrors>
    <ignoredError sqref="C23" unlockedFormula="1"/>
  </ignoredErrors>
  <drawing r:id="rId2"/>
  <legacyDrawing r:id="rId3"/>
  <oleObjects>
    <mc:AlternateContent xmlns:mc="http://schemas.openxmlformats.org/markup-compatibility/2006">
      <mc:Choice Requires="x14">
        <oleObject progId="Equation.3" shapeId="41985" r:id="rId4">
          <objectPr defaultSize="0" autoPict="0" r:id="rId5">
            <anchor moveWithCells="1">
              <from>
                <xdr:col>1</xdr:col>
                <xdr:colOff>31750</xdr:colOff>
                <xdr:row>7</xdr:row>
                <xdr:rowOff>50800</xdr:rowOff>
              </from>
              <to>
                <xdr:col>1</xdr:col>
                <xdr:colOff>508000</xdr:colOff>
                <xdr:row>7</xdr:row>
                <xdr:rowOff>311150</xdr:rowOff>
              </to>
            </anchor>
          </objectPr>
        </oleObject>
      </mc:Choice>
      <mc:Fallback>
        <oleObject progId="Equation.3" shapeId="41985" r:id="rId4"/>
      </mc:Fallback>
    </mc:AlternateContent>
    <mc:AlternateContent xmlns:mc="http://schemas.openxmlformats.org/markup-compatibility/2006">
      <mc:Choice Requires="x14">
        <oleObject progId="Equation.3" shapeId="42140" r:id="rId6">
          <objectPr defaultSize="0" autoPict="0" r:id="rId7">
            <anchor moveWithCells="1" sizeWithCells="1">
              <from>
                <xdr:col>3</xdr:col>
                <xdr:colOff>3454400</xdr:colOff>
                <xdr:row>7</xdr:row>
                <xdr:rowOff>228600</xdr:rowOff>
              </from>
              <to>
                <xdr:col>3</xdr:col>
                <xdr:colOff>4406900</xdr:colOff>
                <xdr:row>7</xdr:row>
                <xdr:rowOff>457200</xdr:rowOff>
              </to>
            </anchor>
          </objectPr>
        </oleObject>
      </mc:Choice>
      <mc:Fallback>
        <oleObject progId="Equation.3" shapeId="42140" r:id="rId6"/>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rgb="FFFFFF00"/>
    <pageSetUpPr fitToPage="1"/>
  </sheetPr>
  <dimension ref="B1:D20"/>
  <sheetViews>
    <sheetView showGridLines="0" zoomScale="80" zoomScaleNormal="80" workbookViewId="0"/>
  </sheetViews>
  <sheetFormatPr defaultColWidth="9.08984375" defaultRowHeight="18"/>
  <cols>
    <col min="1" max="1" width="2.90625" style="39" customWidth="1"/>
    <col min="2" max="2" width="56.08984375" style="39" customWidth="1"/>
    <col min="3" max="3" width="11.6328125" style="61" customWidth="1"/>
    <col min="4" max="4" width="95.81640625" style="39" customWidth="1"/>
    <col min="5" max="16384" width="9.08984375" style="39"/>
  </cols>
  <sheetData>
    <row r="1" spans="2:4" s="10" customFormat="1" ht="45.65" customHeight="1">
      <c r="B1" s="330" t="s">
        <v>284</v>
      </c>
      <c r="C1" s="331"/>
      <c r="D1" s="332"/>
    </row>
    <row r="2" spans="2:4" s="10" customFormat="1" ht="20.399999999999999" customHeight="1">
      <c r="B2" s="110" t="s">
        <v>0</v>
      </c>
      <c r="C2" s="74"/>
      <c r="D2" s="126" t="s">
        <v>1</v>
      </c>
    </row>
    <row r="3" spans="2:4" s="10" customFormat="1" ht="20.399999999999999" customHeight="1">
      <c r="B3" s="112" t="s">
        <v>111</v>
      </c>
      <c r="C3" s="97">
        <v>0.05</v>
      </c>
      <c r="D3" s="164" t="s">
        <v>412</v>
      </c>
    </row>
    <row r="4" spans="2:4" s="10" customFormat="1" ht="20.399999999999999" customHeight="1">
      <c r="B4" s="113" t="s">
        <v>36</v>
      </c>
      <c r="C4" s="97">
        <v>1</v>
      </c>
      <c r="D4" s="164"/>
    </row>
    <row r="5" spans="2:4" s="10" customFormat="1" ht="20.399999999999999" customHeight="1">
      <c r="B5" s="113" t="s">
        <v>94</v>
      </c>
      <c r="C5" s="98">
        <v>0.8</v>
      </c>
      <c r="D5" s="164" t="s">
        <v>91</v>
      </c>
    </row>
    <row r="6" spans="2:4" s="67" customFormat="1" ht="20.399999999999999" customHeight="1">
      <c r="B6" s="111" t="s">
        <v>4</v>
      </c>
      <c r="C6" s="144">
        <v>0.03</v>
      </c>
      <c r="D6" s="127" t="s">
        <v>418</v>
      </c>
    </row>
    <row r="7" spans="2:4" s="67" customFormat="1" ht="36">
      <c r="B7" s="111" t="s">
        <v>17</v>
      </c>
      <c r="C7" s="219">
        <v>5</v>
      </c>
      <c r="D7" s="127" t="s">
        <v>48</v>
      </c>
    </row>
    <row r="8" spans="2:4" s="10" customFormat="1" ht="20.399999999999999" customHeight="1">
      <c r="B8" s="113" t="s">
        <v>39</v>
      </c>
      <c r="C8" s="154">
        <v>75</v>
      </c>
      <c r="D8" s="129" t="s">
        <v>46</v>
      </c>
    </row>
    <row r="9" spans="2:4" s="67" customFormat="1" ht="20.399999999999999" customHeight="1">
      <c r="B9" s="111" t="s">
        <v>137</v>
      </c>
      <c r="C9" s="154">
        <v>10</v>
      </c>
      <c r="D9" s="127" t="s">
        <v>484</v>
      </c>
    </row>
    <row r="10" spans="2:4" s="10" customFormat="1" ht="20.399999999999999" customHeight="1">
      <c r="B10" s="114" t="s">
        <v>51</v>
      </c>
      <c r="C10" s="144">
        <v>0</v>
      </c>
      <c r="D10" s="127" t="s">
        <v>277</v>
      </c>
    </row>
    <row r="11" spans="2:4" s="10" customFormat="1" ht="36">
      <c r="B11" s="113" t="s">
        <v>35</v>
      </c>
      <c r="C11" s="219">
        <v>2</v>
      </c>
      <c r="D11" s="127" t="s">
        <v>278</v>
      </c>
    </row>
    <row r="12" spans="2:4" s="10" customFormat="1" ht="20.399999999999999" customHeight="1">
      <c r="B12" s="114" t="s">
        <v>5</v>
      </c>
      <c r="C12" s="153">
        <v>0</v>
      </c>
      <c r="D12" s="127" t="s">
        <v>279</v>
      </c>
    </row>
    <row r="13" spans="2:4" s="10" customFormat="1" ht="20.399999999999999" customHeight="1">
      <c r="B13" s="113" t="s">
        <v>485</v>
      </c>
      <c r="C13" s="219">
        <v>2</v>
      </c>
      <c r="D13" s="127" t="s">
        <v>74</v>
      </c>
    </row>
    <row r="14" spans="2:4" s="10" customFormat="1" ht="20.399999999999999" customHeight="1">
      <c r="B14" s="152" t="s">
        <v>3</v>
      </c>
      <c r="C14" s="78">
        <f>C15+C16</f>
        <v>2.525569291154929</v>
      </c>
      <c r="D14" s="127" t="s">
        <v>34</v>
      </c>
    </row>
    <row r="15" spans="2:4" s="10" customFormat="1" ht="20.399999999999999" customHeight="1">
      <c r="B15" s="141" t="s">
        <v>229</v>
      </c>
      <c r="C15" s="78">
        <f>IF(C4=2,TINV(C3,C9*C7-C12-1),TINV(C3*2,C9*C7-C12-1))</f>
        <v>1.6765508926168529</v>
      </c>
      <c r="D15" s="127" t="s">
        <v>280</v>
      </c>
    </row>
    <row r="16" spans="2:4" s="10" customFormat="1" ht="20.399999999999999" customHeight="1">
      <c r="B16" s="141" t="s">
        <v>230</v>
      </c>
      <c r="C16" s="78">
        <f>TINV((1-C5)*2,C9*C7-C12-1)</f>
        <v>0.84901839853807604</v>
      </c>
      <c r="D16" s="128" t="s">
        <v>281</v>
      </c>
    </row>
    <row r="17" spans="2:4" s="10" customFormat="1" ht="20.399999999999999" customHeight="1">
      <c r="B17" s="215" t="s">
        <v>47</v>
      </c>
      <c r="C17" s="220">
        <f>(C14/SQRT(C9))*SQRT(1/C8+C6*(1-C10)/(1-C6))*SQRT(1+1/C7+(C11+(C7+1)/2)^2/(C7*(C7+1)*(2*C7+1)/6-(C7+1)^2*C7/4))</f>
        <v>0.32320017503669257</v>
      </c>
      <c r="D17" s="216" t="s">
        <v>7</v>
      </c>
    </row>
    <row r="18" spans="2:4" s="10" customFormat="1" ht="20.399999999999999" customHeight="1" thickBot="1">
      <c r="B18" s="195" t="s">
        <v>257</v>
      </c>
      <c r="C18" s="221">
        <f>SQRT(1+1/C13)*C17</f>
        <v>0.39583775680905309</v>
      </c>
      <c r="D18" s="197" t="s">
        <v>7</v>
      </c>
    </row>
    <row r="20" spans="2:4" ht="59.4" customHeight="1">
      <c r="B20" s="336" t="s">
        <v>486</v>
      </c>
      <c r="C20" s="336"/>
      <c r="D20" s="336"/>
    </row>
  </sheetData>
  <mergeCells count="2">
    <mergeCell ref="B20:D20"/>
    <mergeCell ref="B1:D1"/>
  </mergeCells>
  <phoneticPr fontId="9" type="noConversion"/>
  <printOptions horizontalCentered="1"/>
  <pageMargins left="1" right="1" top="1" bottom="1" header="0.5" footer="0.5"/>
  <pageSetup scale="54" fitToHeight="6" orientation="portrait" horizontalDpi="4294967293" r:id="rId1"/>
  <headerFooter>
    <oddFooter>&amp;L&amp;F&amp;A&amp;RPrinted:  &amp;D</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0">
    <tabColor theme="4" tint="-0.499984740745262"/>
    <pageSetUpPr fitToPage="1"/>
  </sheetPr>
  <dimension ref="A1:D18"/>
  <sheetViews>
    <sheetView showGridLines="0" showWhiteSpace="0" zoomScale="90" zoomScaleNormal="90" workbookViewId="0">
      <selection activeCell="C21" sqref="C21"/>
    </sheetView>
  </sheetViews>
  <sheetFormatPr defaultColWidth="9.08984375" defaultRowHeight="18"/>
  <cols>
    <col min="1" max="1" width="39.36328125" style="39" customWidth="1"/>
    <col min="2" max="2" width="12.54296875" style="61" customWidth="1"/>
    <col min="3" max="3" width="85.54296875" style="39" customWidth="1"/>
    <col min="4" max="4" width="9.08984375" style="62"/>
    <col min="5" max="16384" width="9.08984375" style="39"/>
  </cols>
  <sheetData>
    <row r="1" spans="1:4" s="10" customFormat="1" ht="50.25" customHeight="1">
      <c r="A1" s="337" t="s">
        <v>368</v>
      </c>
      <c r="B1" s="338"/>
      <c r="C1" s="339"/>
      <c r="D1" s="63"/>
    </row>
    <row r="2" spans="1:4" s="10" customFormat="1" ht="21.65" customHeight="1">
      <c r="A2" s="224" t="s">
        <v>0</v>
      </c>
      <c r="B2" s="225"/>
      <c r="C2" s="226" t="s">
        <v>1</v>
      </c>
      <c r="D2" s="63"/>
    </row>
    <row r="3" spans="1:4" s="10" customFormat="1" ht="21.65" customHeight="1">
      <c r="A3" s="111" t="s">
        <v>76</v>
      </c>
      <c r="B3" s="99">
        <v>0.5</v>
      </c>
      <c r="C3" s="127" t="s">
        <v>96</v>
      </c>
      <c r="D3" s="63"/>
    </row>
    <row r="4" spans="1:4" s="10" customFormat="1" ht="21.65" customHeight="1">
      <c r="A4" s="112" t="s">
        <v>111</v>
      </c>
      <c r="B4" s="133">
        <v>0.05</v>
      </c>
      <c r="C4" s="161" t="s">
        <v>412</v>
      </c>
      <c r="D4" s="63"/>
    </row>
    <row r="5" spans="1:4" s="10" customFormat="1" ht="21.65" customHeight="1">
      <c r="A5" s="112" t="s">
        <v>36</v>
      </c>
      <c r="B5" s="133">
        <v>2</v>
      </c>
      <c r="C5" s="161"/>
      <c r="D5" s="63"/>
    </row>
    <row r="6" spans="1:4" s="10" customFormat="1" ht="21.65" customHeight="1">
      <c r="A6" s="112" t="s">
        <v>93</v>
      </c>
      <c r="B6" s="134">
        <v>0.8</v>
      </c>
      <c r="C6" s="164" t="s">
        <v>91</v>
      </c>
      <c r="D6" s="63"/>
    </row>
    <row r="7" spans="1:4" s="10" customFormat="1" ht="21.65" customHeight="1">
      <c r="A7" s="112" t="s">
        <v>9</v>
      </c>
      <c r="B7" s="135">
        <v>0.5</v>
      </c>
      <c r="C7" s="227" t="s">
        <v>267</v>
      </c>
      <c r="D7" s="63"/>
    </row>
    <row r="8" spans="1:4" s="10" customFormat="1" ht="21.65" customHeight="1">
      <c r="A8" s="222" t="s">
        <v>64</v>
      </c>
      <c r="B8" s="135">
        <v>0.5</v>
      </c>
      <c r="C8" s="161" t="s">
        <v>487</v>
      </c>
      <c r="D8" s="63"/>
    </row>
    <row r="9" spans="1:4" s="10" customFormat="1" ht="21" customHeight="1">
      <c r="A9" s="222" t="s">
        <v>8</v>
      </c>
      <c r="B9" s="136">
        <v>1</v>
      </c>
      <c r="C9" s="161" t="s">
        <v>23</v>
      </c>
      <c r="D9" s="63"/>
    </row>
    <row r="10" spans="1:4" s="10" customFormat="1" ht="21.65" hidden="1" customHeight="1">
      <c r="A10" s="112" t="s">
        <v>110</v>
      </c>
      <c r="B10" s="228">
        <v>64.895442494905964</v>
      </c>
      <c r="C10" s="223"/>
      <c r="D10" s="63"/>
    </row>
    <row r="11" spans="1:4" s="10" customFormat="1" ht="21.65" hidden="1" customHeight="1">
      <c r="A11" s="112" t="s">
        <v>86</v>
      </c>
      <c r="B11" s="229">
        <f>IF(B5=2,TINV(B4,B10-B9-2),TINV(B4*2,B10-B9-2))</f>
        <v>1.9996235849949404</v>
      </c>
      <c r="C11" s="161" t="s">
        <v>62</v>
      </c>
      <c r="D11" s="63"/>
    </row>
    <row r="12" spans="1:4" s="10" customFormat="1" ht="21.65" hidden="1" customHeight="1">
      <c r="A12" s="112" t="s">
        <v>87</v>
      </c>
      <c r="B12" s="229">
        <f>IF(B6&gt;=0.5,TINV((1-B6)*2,B10-B9-2),TINV(B6*2,B10-B9-2))</f>
        <v>0.84755346105576701</v>
      </c>
      <c r="C12" s="161" t="s">
        <v>63</v>
      </c>
      <c r="D12" s="63"/>
    </row>
    <row r="13" spans="1:4" s="10" customFormat="1" ht="21.65" hidden="1" customHeight="1">
      <c r="A13" s="112" t="s">
        <v>106</v>
      </c>
      <c r="B13" s="229">
        <f>IF(B6&gt;=0.5,(B11+B12),(B11-B12))</f>
        <v>2.8471770460507075</v>
      </c>
      <c r="C13" s="161" t="s">
        <v>24</v>
      </c>
      <c r="D13" s="63"/>
    </row>
    <row r="14" spans="1:4" s="10" customFormat="1" ht="21.65" customHeight="1">
      <c r="A14" s="112" t="s">
        <v>88</v>
      </c>
      <c r="B14" s="229">
        <f>IF(B6&gt;=0.5,(IF(B5=2,TINV(B4,B15-B9-2),TINV(B4*2,B15-B9-2))+IF(B6&gt;=0.5,TINV((1-B6)*2,B15-B9-2),TINV(B6*2,B15-B9-2))),(IF(B5=2,TINV(B4,B15-B9-2),TINV(B4*2,B15-B9-2))-IF(B6&gt;=0.5,TINV((1-B6)*2,B15-B9-2),TINV(B6*2,B15-B9-2))))</f>
        <v>2.8471770460507075</v>
      </c>
      <c r="C14" s="161" t="s">
        <v>521</v>
      </c>
      <c r="D14" s="63"/>
    </row>
    <row r="15" spans="1:4" s="10" customFormat="1" ht="21.65" customHeight="1" thickBot="1">
      <c r="A15" s="156" t="s">
        <v>107</v>
      </c>
      <c r="B15" s="230">
        <v>64.899999999999991</v>
      </c>
      <c r="C15" s="168" t="s">
        <v>108</v>
      </c>
      <c r="D15" s="63"/>
    </row>
    <row r="16" spans="1:4" ht="38.4" customHeight="1">
      <c r="B16" s="39"/>
      <c r="D16" s="39"/>
    </row>
    <row r="18" spans="1:3" ht="24" customHeight="1">
      <c r="A18" s="340" t="s">
        <v>415</v>
      </c>
      <c r="B18" s="340"/>
      <c r="C18" s="340"/>
    </row>
  </sheetData>
  <mergeCells count="2">
    <mergeCell ref="A1:C1"/>
    <mergeCell ref="A18:C18"/>
  </mergeCells>
  <printOptions horizontalCentered="1"/>
  <pageMargins left="1" right="1" top="1" bottom="1" header="0.5" footer="0.5"/>
  <pageSetup scale="61" fitToHeight="6" orientation="portrait" horizontalDpi="4294967293"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N_IRA">
                <anchor moveWithCells="1" sizeWithCells="1">
                  <from>
                    <xdr:col>0</xdr:col>
                    <xdr:colOff>2673350</xdr:colOff>
                    <xdr:row>15</xdr:row>
                    <xdr:rowOff>139700</xdr:rowOff>
                  </from>
                  <to>
                    <xdr:col>1</xdr:col>
                    <xdr:colOff>863600</xdr:colOff>
                    <xdr:row>15</xdr:row>
                    <xdr:rowOff>488950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2">
    <tabColor theme="7" tint="0.39997558519241921"/>
    <pageSetUpPr fitToPage="1"/>
  </sheetPr>
  <dimension ref="A1:C19"/>
  <sheetViews>
    <sheetView showGridLines="0" zoomScale="90" zoomScaleNormal="90" workbookViewId="0">
      <selection activeCell="B16" sqref="B16"/>
    </sheetView>
  </sheetViews>
  <sheetFormatPr defaultColWidth="9.08984375" defaultRowHeight="18"/>
  <cols>
    <col min="1" max="1" width="39.54296875" style="39" customWidth="1"/>
    <col min="2" max="2" width="12.08984375" style="61" customWidth="1"/>
    <col min="3" max="3" width="94.81640625" style="39" customWidth="1"/>
    <col min="4" max="16384" width="9.08984375" style="39"/>
  </cols>
  <sheetData>
    <row r="1" spans="1:3" ht="45" customHeight="1">
      <c r="A1" s="330" t="s">
        <v>367</v>
      </c>
      <c r="B1" s="331"/>
      <c r="C1" s="332"/>
    </row>
    <row r="2" spans="1:3" s="10" customFormat="1" ht="22.75" customHeight="1">
      <c r="A2" s="110" t="s">
        <v>0</v>
      </c>
      <c r="B2" s="74"/>
      <c r="C2" s="126" t="s">
        <v>1</v>
      </c>
    </row>
    <row r="3" spans="1:3" s="10" customFormat="1" ht="22.75" customHeight="1">
      <c r="A3" s="111" t="s">
        <v>76</v>
      </c>
      <c r="B3" s="99">
        <v>0.5</v>
      </c>
      <c r="C3" s="127" t="s">
        <v>96</v>
      </c>
    </row>
    <row r="4" spans="1:3" s="10" customFormat="1" ht="22.75" customHeight="1">
      <c r="A4" s="112" t="s">
        <v>111</v>
      </c>
      <c r="B4" s="97">
        <v>0.05</v>
      </c>
      <c r="C4" s="127" t="s">
        <v>411</v>
      </c>
    </row>
    <row r="5" spans="1:3" s="10" customFormat="1" ht="22.75" customHeight="1">
      <c r="A5" s="113" t="s">
        <v>36</v>
      </c>
      <c r="B5" s="97">
        <v>2</v>
      </c>
      <c r="C5" s="127"/>
    </row>
    <row r="6" spans="1:3" s="10" customFormat="1" ht="22.75" customHeight="1">
      <c r="A6" s="113" t="s">
        <v>94</v>
      </c>
      <c r="B6" s="98">
        <v>0.8</v>
      </c>
      <c r="C6" s="127" t="s">
        <v>91</v>
      </c>
    </row>
    <row r="7" spans="1:3" s="10" customFormat="1" ht="22.75" customHeight="1">
      <c r="A7" s="113" t="s">
        <v>9</v>
      </c>
      <c r="B7" s="99">
        <v>0.5</v>
      </c>
      <c r="C7" s="129" t="s">
        <v>286</v>
      </c>
    </row>
    <row r="8" spans="1:3" s="10" customFormat="1" ht="22.75" customHeight="1">
      <c r="A8" s="114" t="s">
        <v>2</v>
      </c>
      <c r="B8" s="99">
        <v>0.5</v>
      </c>
      <c r="C8" s="127" t="s">
        <v>488</v>
      </c>
    </row>
    <row r="9" spans="1:3" s="10" customFormat="1" ht="22.75" customHeight="1">
      <c r="A9" s="114" t="s">
        <v>5</v>
      </c>
      <c r="B9" s="100">
        <v>0</v>
      </c>
      <c r="C9" s="127" t="s">
        <v>285</v>
      </c>
    </row>
    <row r="10" spans="1:3" s="10" customFormat="1" ht="22.25" customHeight="1">
      <c r="A10" s="113" t="s">
        <v>58</v>
      </c>
      <c r="B10" s="101">
        <v>5</v>
      </c>
      <c r="C10" s="129" t="s">
        <v>37</v>
      </c>
    </row>
    <row r="11" spans="1:3" s="10" customFormat="1" ht="22.75" hidden="1" customHeight="1">
      <c r="A11" s="111" t="s">
        <v>113</v>
      </c>
      <c r="B11" s="231">
        <v>13.100192262236632</v>
      </c>
      <c r="C11" s="127" t="s">
        <v>25</v>
      </c>
    </row>
    <row r="12" spans="1:3" s="10" customFormat="1" ht="22.75" hidden="1" customHeight="1">
      <c r="A12" s="113" t="s">
        <v>86</v>
      </c>
      <c r="B12" s="78">
        <f>IF(B5=2,TINV(B4,B10*B11-B11-B9-1),TINV(B4*2,B10*B11-B11-B9-1))</f>
        <v>2.007583770315835</v>
      </c>
      <c r="C12" s="127" t="s">
        <v>62</v>
      </c>
    </row>
    <row r="13" spans="1:3" s="10" customFormat="1" ht="22.75" hidden="1" customHeight="1">
      <c r="A13" s="113" t="s">
        <v>87</v>
      </c>
      <c r="B13" s="78">
        <f>IF(B6&gt;=0.5,TINV((1-B6)*2,B10*B11-B11-B9-1),TINV(B6*2,B10*B11-B11-B9-1))</f>
        <v>0.84872598630488649</v>
      </c>
      <c r="C13" s="127" t="s">
        <v>63</v>
      </c>
    </row>
    <row r="14" spans="1:3" s="10" customFormat="1" ht="22.75" hidden="1" customHeight="1">
      <c r="A14" s="113" t="s">
        <v>89</v>
      </c>
      <c r="B14" s="78">
        <f>IF(B6&gt;=0.5,(B12+B13),(B12-B13))</f>
        <v>2.8563097566207216</v>
      </c>
      <c r="C14" s="127" t="s">
        <v>109</v>
      </c>
    </row>
    <row r="15" spans="1:3" s="10" customFormat="1" ht="22.75" customHeight="1">
      <c r="A15" s="113" t="s">
        <v>88</v>
      </c>
      <c r="B15" s="78">
        <f>IF(B6&gt;=0.5,(IF(B5=2,TINV(B4,B10*B16-B16-B9-1),TINV(B4*2,B10*B16-B16-B9-1))+IF(B6&gt;=0.5,TINV((1-B6)*2,B10*B11-B16-B9-1),TINV(B6*2,B10*B16-B16-B9-1))),(IF(B5=2,TINV(B4,B10*B16-B16-B9-1),TINV(B4*2,B10*B16-B16-B9-1))-IF(B6&gt;=0.5,TINV((1-B6)*2,B10*B11-B16-B9-1),TINV(B6*2,B10*B16-B16-B9-1))))</f>
        <v>2.8563097566207216</v>
      </c>
      <c r="C15" s="127" t="s">
        <v>521</v>
      </c>
    </row>
    <row r="16" spans="1:3" s="10" customFormat="1" ht="22.75" customHeight="1" thickBot="1">
      <c r="A16" s="115" t="s">
        <v>59</v>
      </c>
      <c r="B16" s="116">
        <v>13.1</v>
      </c>
      <c r="C16" s="232" t="s">
        <v>370</v>
      </c>
    </row>
    <row r="17" spans="1:3" s="64" customFormat="1" ht="46.25" customHeight="1">
      <c r="A17" s="34"/>
      <c r="B17" s="61"/>
      <c r="C17" s="39"/>
    </row>
    <row r="18" spans="1:3" s="64" customFormat="1" ht="6" customHeight="1">
      <c r="A18" s="34"/>
      <c r="B18" s="61"/>
      <c r="C18" s="39"/>
    </row>
    <row r="19" spans="1:3" ht="18" customHeight="1">
      <c r="A19" s="340" t="s">
        <v>415</v>
      </c>
      <c r="B19" s="340"/>
      <c r="C19" s="340"/>
    </row>
  </sheetData>
  <protectedRanges>
    <protectedRange password="CF7A" sqref="B14" name="Forbidden revising"/>
  </protectedRanges>
  <mergeCells count="2">
    <mergeCell ref="A1:C1"/>
    <mergeCell ref="A19:C19"/>
  </mergeCells>
  <printOptions horizontalCentered="1"/>
  <pageMargins left="1" right="1" top="1" bottom="1" header="0.5" footer="0.5"/>
  <pageSetup scale="53"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6914" r:id="rId4" name="Button 2">
              <controlPr defaultSize="0" print="0" autoFill="0" autoPict="0" macro="[0]!N_BRA2_1c">
                <anchor moveWithCells="1" sizeWithCells="1">
                  <from>
                    <xdr:col>0</xdr:col>
                    <xdr:colOff>2679700</xdr:colOff>
                    <xdr:row>16</xdr:row>
                    <xdr:rowOff>146050</xdr:rowOff>
                  </from>
                  <to>
                    <xdr:col>2</xdr:col>
                    <xdr:colOff>31750</xdr:colOff>
                    <xdr:row>16</xdr:row>
                    <xdr:rowOff>488950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4">
    <tabColor theme="7" tint="0.39997558519241921"/>
    <pageSetUpPr fitToPage="1"/>
  </sheetPr>
  <dimension ref="A1:C19"/>
  <sheetViews>
    <sheetView showGridLines="0" zoomScale="90" zoomScaleNormal="90" workbookViewId="0">
      <selection activeCell="B16" sqref="B16"/>
    </sheetView>
  </sheetViews>
  <sheetFormatPr defaultColWidth="9.08984375" defaultRowHeight="18"/>
  <cols>
    <col min="1" max="1" width="37.6328125" style="39" customWidth="1"/>
    <col min="2" max="2" width="12.08984375" style="61" customWidth="1"/>
    <col min="3" max="3" width="93.08984375" style="39" customWidth="1"/>
    <col min="4" max="16384" width="9.08984375" style="39"/>
  </cols>
  <sheetData>
    <row r="1" spans="1:3" s="10" customFormat="1" ht="42" customHeight="1">
      <c r="A1" s="330" t="s">
        <v>407</v>
      </c>
      <c r="B1" s="331"/>
      <c r="C1" s="332"/>
    </row>
    <row r="2" spans="1:3" s="10" customFormat="1" ht="25.25" customHeight="1">
      <c r="A2" s="110" t="s">
        <v>0</v>
      </c>
      <c r="B2" s="74"/>
      <c r="C2" s="126" t="s">
        <v>1</v>
      </c>
    </row>
    <row r="3" spans="1:3" s="10" customFormat="1" ht="25.25" customHeight="1">
      <c r="A3" s="111" t="s">
        <v>76</v>
      </c>
      <c r="B3" s="99">
        <v>0.5</v>
      </c>
      <c r="C3" s="127" t="s">
        <v>96</v>
      </c>
    </row>
    <row r="4" spans="1:3" s="10" customFormat="1" ht="25.25" customHeight="1">
      <c r="A4" s="112" t="s">
        <v>111</v>
      </c>
      <c r="B4" s="97">
        <v>0.05</v>
      </c>
      <c r="C4" s="127" t="s">
        <v>412</v>
      </c>
    </row>
    <row r="5" spans="1:3" s="10" customFormat="1" ht="25.25" customHeight="1">
      <c r="A5" s="113" t="s">
        <v>36</v>
      </c>
      <c r="B5" s="97">
        <v>2</v>
      </c>
      <c r="C5" s="127"/>
    </row>
    <row r="6" spans="1:3" s="10" customFormat="1" ht="25.25" customHeight="1">
      <c r="A6" s="113" t="s">
        <v>94</v>
      </c>
      <c r="B6" s="98">
        <v>0.8</v>
      </c>
      <c r="C6" s="127" t="s">
        <v>91</v>
      </c>
    </row>
    <row r="7" spans="1:3" s="10" customFormat="1" ht="25.25" customHeight="1">
      <c r="A7" s="113" t="s">
        <v>9</v>
      </c>
      <c r="B7" s="99">
        <v>0.5</v>
      </c>
      <c r="C7" s="129" t="s">
        <v>286</v>
      </c>
    </row>
    <row r="8" spans="1:3" s="10" customFormat="1" ht="25.25" customHeight="1">
      <c r="A8" s="114" t="s">
        <v>2</v>
      </c>
      <c r="B8" s="99">
        <v>0.5</v>
      </c>
      <c r="C8" s="127" t="s">
        <v>488</v>
      </c>
    </row>
    <row r="9" spans="1:3" s="10" customFormat="1" ht="25.25" customHeight="1">
      <c r="A9" s="114" t="s">
        <v>5</v>
      </c>
      <c r="B9" s="100">
        <v>0</v>
      </c>
      <c r="C9" s="127" t="s">
        <v>285</v>
      </c>
    </row>
    <row r="10" spans="1:3" s="10" customFormat="1" ht="25.25" customHeight="1">
      <c r="A10" s="113" t="s">
        <v>58</v>
      </c>
      <c r="B10" s="101">
        <v>20</v>
      </c>
      <c r="C10" s="129" t="s">
        <v>37</v>
      </c>
    </row>
    <row r="11" spans="1:3" s="10" customFormat="1" hidden="1">
      <c r="A11" s="111" t="s">
        <v>113</v>
      </c>
      <c r="B11" s="231">
        <v>3.2746000715647341</v>
      </c>
      <c r="C11" s="127" t="s">
        <v>25</v>
      </c>
    </row>
    <row r="12" spans="1:3" s="10" customFormat="1" ht="21" hidden="1">
      <c r="A12" s="113" t="s">
        <v>86</v>
      </c>
      <c r="B12" s="78">
        <f>IF(B5=2,TINV(B4,B10*B11-2*B11-B9),TINV(B4*2,B10*B11-2*B11-B9))</f>
        <v>2.0017174841452352</v>
      </c>
      <c r="C12" s="127" t="s">
        <v>62</v>
      </c>
    </row>
    <row r="13" spans="1:3" s="10" customFormat="1" ht="21" hidden="1">
      <c r="A13" s="113" t="s">
        <v>87</v>
      </c>
      <c r="B13" s="78">
        <f>IF(B6&gt;=0.5,TINV((1-B6)*2,B10*B11-2*B11-B9),TINV(B6*2,B10*B11-2*B11-B9))</f>
        <v>0.84786246710303526</v>
      </c>
      <c r="C13" s="127" t="s">
        <v>63</v>
      </c>
    </row>
    <row r="14" spans="1:3" s="10" customFormat="1" hidden="1">
      <c r="A14" s="113" t="s">
        <v>89</v>
      </c>
      <c r="B14" s="78">
        <f>IF(B6&gt;=0.5,(B12+B13),(B12-B13))</f>
        <v>2.8495799512482707</v>
      </c>
      <c r="C14" s="127" t="s">
        <v>109</v>
      </c>
    </row>
    <row r="15" spans="1:3" s="10" customFormat="1" ht="25.25" customHeight="1">
      <c r="A15" s="113" t="s">
        <v>88</v>
      </c>
      <c r="B15" s="78">
        <f>IF(B6&gt;=0.5,(IF(B5=2,TINV(B4,B10*B11-2*B11-B9),TINV(B4*2,B10*B11-2*B11-B9))+IF(B6&gt;=0.5,TINV((1-B6)*2,B10*B11-2*B11-B9),TINV(B6*2,B10*B11-2*B11-B9))),(IF(B5=2,TINV(B4,B10*B11-2*B11-B9),TINV(B4*2,B10*B11-2*B11-B9))-IF(B6&gt;=0.5,TINV((1-B6)*2,B10*B11-2*B11-B9),TINV(B6*2,B10*B11-2*B11-B9))))</f>
        <v>2.8495799512482707</v>
      </c>
      <c r="C15" s="127" t="s">
        <v>521</v>
      </c>
    </row>
    <row r="16" spans="1:3" s="10" customFormat="1" ht="25.25" customHeight="1" thickBot="1">
      <c r="A16" s="115" t="s">
        <v>59</v>
      </c>
      <c r="B16" s="116">
        <v>3.3000000000000003</v>
      </c>
      <c r="C16" s="232" t="s">
        <v>114</v>
      </c>
    </row>
    <row r="17" spans="1:3" s="64" customFormat="1" ht="39" customHeight="1">
      <c r="A17" s="34"/>
      <c r="B17" s="61"/>
      <c r="C17" s="39"/>
    </row>
    <row r="18" spans="1:3" s="64" customFormat="1" ht="4.25" customHeight="1">
      <c r="A18" s="34"/>
      <c r="B18" s="61"/>
      <c r="C18" s="39"/>
    </row>
    <row r="19" spans="1:3" ht="24" customHeight="1">
      <c r="A19" s="340" t="s">
        <v>415</v>
      </c>
      <c r="B19" s="340"/>
      <c r="C19" s="340"/>
    </row>
  </sheetData>
  <protectedRanges>
    <protectedRange password="CF7A" sqref="B14" name="Forbidden revising"/>
  </protectedRanges>
  <mergeCells count="2">
    <mergeCell ref="A1:C1"/>
    <mergeCell ref="A19:C19"/>
  </mergeCells>
  <printOptions horizontalCentered="1"/>
  <pageMargins left="1" right="1" top="1" bottom="1" header="0.5" footer="0.5"/>
  <pageSetup scale="53"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9" r:id="rId4" name="Button 3">
              <controlPr defaultSize="0" print="0" autoFill="0" autoPict="0" macro="[0]!N_BRA2_1f">
                <anchor moveWithCells="1" sizeWithCells="1">
                  <from>
                    <xdr:col>0</xdr:col>
                    <xdr:colOff>2559050</xdr:colOff>
                    <xdr:row>16</xdr:row>
                    <xdr:rowOff>114300</xdr:rowOff>
                  </from>
                  <to>
                    <xdr:col>2</xdr:col>
                    <xdr:colOff>31750</xdr:colOff>
                    <xdr:row>16</xdr:row>
                    <xdr:rowOff>457200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3">
    <tabColor theme="7" tint="0.39997558519241921"/>
    <pageSetUpPr fitToPage="1"/>
  </sheetPr>
  <dimension ref="A1:C22"/>
  <sheetViews>
    <sheetView showGridLines="0" zoomScale="80" zoomScaleNormal="80" workbookViewId="0">
      <selection activeCell="B19" sqref="B19"/>
    </sheetView>
  </sheetViews>
  <sheetFormatPr defaultColWidth="9.08984375" defaultRowHeight="18"/>
  <cols>
    <col min="1" max="1" width="40.36328125" style="39" customWidth="1"/>
    <col min="2" max="2" width="12.6328125" style="61" customWidth="1"/>
    <col min="3" max="3" width="99.453125" style="39" customWidth="1"/>
    <col min="4" max="16384" width="9.08984375" style="39"/>
  </cols>
  <sheetData>
    <row r="1" spans="1:3" s="64" customFormat="1" ht="48" customHeight="1">
      <c r="A1" s="330" t="s">
        <v>287</v>
      </c>
      <c r="B1" s="331"/>
      <c r="C1" s="332"/>
    </row>
    <row r="2" spans="1:3" s="67" customFormat="1" ht="27" customHeight="1">
      <c r="A2" s="110" t="s">
        <v>0</v>
      </c>
      <c r="B2" s="74"/>
      <c r="C2" s="126" t="s">
        <v>1</v>
      </c>
    </row>
    <row r="3" spans="1:3" s="67" customFormat="1" ht="27" customHeight="1">
      <c r="A3" s="111" t="s">
        <v>76</v>
      </c>
      <c r="B3" s="99">
        <v>0.2</v>
      </c>
      <c r="C3" s="127" t="s">
        <v>96</v>
      </c>
    </row>
    <row r="4" spans="1:3" s="67" customFormat="1" ht="27" customHeight="1">
      <c r="A4" s="112" t="s">
        <v>111</v>
      </c>
      <c r="B4" s="97">
        <v>0.05</v>
      </c>
      <c r="C4" s="127" t="s">
        <v>413</v>
      </c>
    </row>
    <row r="5" spans="1:3" s="67" customFormat="1" ht="27" customHeight="1">
      <c r="A5" s="113" t="s">
        <v>36</v>
      </c>
      <c r="B5" s="97">
        <v>2</v>
      </c>
      <c r="C5" s="127"/>
    </row>
    <row r="6" spans="1:3" s="67" customFormat="1" ht="27" customHeight="1">
      <c r="A6" s="113" t="s">
        <v>94</v>
      </c>
      <c r="B6" s="98">
        <v>0.8</v>
      </c>
      <c r="C6" s="127" t="s">
        <v>91</v>
      </c>
    </row>
    <row r="7" spans="1:3" s="67" customFormat="1" ht="27" customHeight="1">
      <c r="A7" s="111" t="s">
        <v>4</v>
      </c>
      <c r="B7" s="99">
        <v>0.25</v>
      </c>
      <c r="C7" s="127" t="s">
        <v>472</v>
      </c>
    </row>
    <row r="8" spans="1:3" s="67" customFormat="1" ht="36" customHeight="1">
      <c r="A8" s="111"/>
      <c r="B8" s="99">
        <v>0.2</v>
      </c>
      <c r="C8" s="127" t="s">
        <v>288</v>
      </c>
    </row>
    <row r="9" spans="1:3" s="67" customFormat="1" ht="27" customHeight="1">
      <c r="A9" s="113" t="s">
        <v>10</v>
      </c>
      <c r="B9" s="99">
        <v>0.5</v>
      </c>
      <c r="C9" s="129" t="s">
        <v>369</v>
      </c>
    </row>
    <row r="10" spans="1:3" s="67" customFormat="1" ht="27" customHeight="1">
      <c r="A10" s="114" t="s">
        <v>2</v>
      </c>
      <c r="B10" s="99">
        <v>0.5</v>
      </c>
      <c r="C10" s="127" t="s">
        <v>463</v>
      </c>
    </row>
    <row r="11" spans="1:3" s="67" customFormat="1" ht="27" customHeight="1">
      <c r="A11" s="114" t="s">
        <v>115</v>
      </c>
      <c r="B11" s="99">
        <v>0</v>
      </c>
      <c r="C11" s="127" t="s">
        <v>439</v>
      </c>
    </row>
    <row r="12" spans="1:3" s="67" customFormat="1" ht="27" customHeight="1">
      <c r="A12" s="114" t="s">
        <v>5</v>
      </c>
      <c r="B12" s="100">
        <v>1</v>
      </c>
      <c r="C12" s="127" t="s">
        <v>245</v>
      </c>
    </row>
    <row r="13" spans="1:3" s="10" customFormat="1" ht="27" customHeight="1">
      <c r="A13" s="113" t="s">
        <v>58</v>
      </c>
      <c r="B13" s="101">
        <v>10</v>
      </c>
      <c r="C13" s="129" t="s">
        <v>37</v>
      </c>
    </row>
    <row r="14" spans="1:3" s="67" customFormat="1" hidden="1">
      <c r="A14" s="111" t="s">
        <v>113</v>
      </c>
      <c r="B14" s="231">
        <v>41.258354207442167</v>
      </c>
      <c r="C14" s="127" t="s">
        <v>25</v>
      </c>
    </row>
    <row r="15" spans="1:3" s="67" customFormat="1" ht="21" hidden="1">
      <c r="A15" s="113" t="s">
        <v>86</v>
      </c>
      <c r="B15" s="78">
        <f>IF(B5=2,TINV(B4,B14-B12-1),TINV(B4*2,B14-B12-1))</f>
        <v>2.0226909200367595</v>
      </c>
      <c r="C15" s="127" t="s">
        <v>62</v>
      </c>
    </row>
    <row r="16" spans="1:3" s="67" customFormat="1" ht="21" hidden="1">
      <c r="A16" s="113" t="s">
        <v>87</v>
      </c>
      <c r="B16" s="78">
        <f>IF(B6&gt;=0.5,TINV((1-B6)*2,B14-B12-1),TINV(B6*2,B14-B12-1))</f>
        <v>0.85093501992012333</v>
      </c>
      <c r="C16" s="127" t="s">
        <v>63</v>
      </c>
    </row>
    <row r="17" spans="1:3" s="67" customFormat="1" hidden="1">
      <c r="A17" s="113" t="s">
        <v>89</v>
      </c>
      <c r="B17" s="78">
        <f>IF(B6&gt;=0.5,(B15+B16),(B15-B16))</f>
        <v>2.8736259399568826</v>
      </c>
      <c r="C17" s="127" t="s">
        <v>109</v>
      </c>
    </row>
    <row r="18" spans="1:3" s="67" customFormat="1" ht="27" customHeight="1">
      <c r="A18" s="113" t="s">
        <v>88</v>
      </c>
      <c r="B18" s="78">
        <f>IF(B6&gt;=0.5,(IF(B5=2,TINV(B4,B19-B12-1),TINV(B4*2,B19-B12-1))+IF(B6&gt;=0.5,TINV((1-B6)*2,B19-B12-1),TINV(B6*2,B19-B12-1))),(IF(B5=2,TINV(B4,B19-B12-1),TINV(B4*2,B19-B12-1))-IF(B6&gt;=0.5,TINV((1-B6)*2,B19-B12-1),TINV(B6*2,B19-B12-1))))</f>
        <v>2.8736259399568826</v>
      </c>
      <c r="C18" s="127" t="s">
        <v>521</v>
      </c>
    </row>
    <row r="19" spans="1:3" s="10" customFormat="1" ht="27" customHeight="1" thickBot="1">
      <c r="A19" s="233" t="s">
        <v>59</v>
      </c>
      <c r="B19" s="116">
        <v>41.300000000000004</v>
      </c>
      <c r="C19" s="232" t="s">
        <v>399</v>
      </c>
    </row>
    <row r="20" spans="1:3" s="10" customFormat="1" ht="36" customHeight="1">
      <c r="A20" s="34"/>
      <c r="B20" s="73"/>
    </row>
    <row r="21" spans="1:3" s="10" customFormat="1" ht="4.25" customHeight="1">
      <c r="A21" s="34"/>
      <c r="B21" s="73"/>
    </row>
    <row r="22" spans="1:3">
      <c r="A22" s="340" t="s">
        <v>415</v>
      </c>
      <c r="B22" s="340"/>
      <c r="C22" s="340"/>
    </row>
  </sheetData>
  <protectedRanges>
    <protectedRange password="CF7A" sqref="B15:B19" name="Forbidden revising"/>
  </protectedRanges>
  <mergeCells count="2">
    <mergeCell ref="A1:C1"/>
    <mergeCell ref="A22:C22"/>
  </mergeCells>
  <printOptions horizontalCentered="1"/>
  <pageMargins left="1" right="1" top="1" bottom="1" header="0.5" footer="0.5"/>
  <pageSetup scale="50"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68961" r:id="rId4">
          <objectPr defaultSize="0" autoPict="0" r:id="rId5">
            <anchor moveWithCells="1" sizeWithCells="1">
              <from>
                <xdr:col>0</xdr:col>
                <xdr:colOff>44450</xdr:colOff>
                <xdr:row>7</xdr:row>
                <xdr:rowOff>101600</xdr:rowOff>
              </from>
              <to>
                <xdr:col>0</xdr:col>
                <xdr:colOff>482600</xdr:colOff>
                <xdr:row>7</xdr:row>
                <xdr:rowOff>298450</xdr:rowOff>
              </to>
            </anchor>
          </objectPr>
        </oleObject>
      </mc:Choice>
      <mc:Fallback>
        <oleObject progId="Equation.3" shapeId="168961" r:id="rId4"/>
      </mc:Fallback>
    </mc:AlternateContent>
  </oleObjects>
  <mc:AlternateContent xmlns:mc="http://schemas.openxmlformats.org/markup-compatibility/2006">
    <mc:Choice Requires="x14">
      <controls>
        <mc:AlternateContent xmlns:mc="http://schemas.openxmlformats.org/markup-compatibility/2006">
          <mc:Choice Requires="x14">
            <control shapeId="168964" r:id="rId6" name="Button 4">
              <controlPr defaultSize="0" print="0" autoFill="0" autoPict="0" macro="[0]!N_BRA2_1r">
                <anchor moveWithCells="1" sizeWithCells="1">
                  <from>
                    <xdr:col>0</xdr:col>
                    <xdr:colOff>2743200</xdr:colOff>
                    <xdr:row>19</xdr:row>
                    <xdr:rowOff>107950</xdr:rowOff>
                  </from>
                  <to>
                    <xdr:col>1</xdr:col>
                    <xdr:colOff>863600</xdr:colOff>
                    <xdr:row>19</xdr:row>
                    <xdr:rowOff>450850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5">
    <tabColor theme="7" tint="0.39997558519241921"/>
    <pageSetUpPr fitToPage="1"/>
  </sheetPr>
  <dimension ref="A1:C26"/>
  <sheetViews>
    <sheetView showGridLines="0" topLeftCell="A4" zoomScale="80" zoomScaleNormal="80" workbookViewId="0">
      <selection activeCell="B23" sqref="B23"/>
    </sheetView>
  </sheetViews>
  <sheetFormatPr defaultColWidth="9.08984375" defaultRowHeight="18"/>
  <cols>
    <col min="1" max="1" width="41.54296875" style="10" customWidth="1"/>
    <col min="2" max="2" width="12.6328125" style="73" customWidth="1"/>
    <col min="3" max="3" width="109.90625" style="10" customWidth="1"/>
    <col min="4" max="16384" width="9.08984375" style="10"/>
  </cols>
  <sheetData>
    <row r="1" spans="1:3" s="67" customFormat="1" ht="40.25" customHeight="1">
      <c r="A1" s="330" t="s">
        <v>371</v>
      </c>
      <c r="B1" s="331"/>
      <c r="C1" s="332"/>
    </row>
    <row r="2" spans="1:3" s="67" customFormat="1" ht="24.65" customHeight="1">
      <c r="A2" s="235" t="s">
        <v>0</v>
      </c>
      <c r="B2" s="79"/>
      <c r="C2" s="236" t="s">
        <v>1</v>
      </c>
    </row>
    <row r="3" spans="1:3" s="67" customFormat="1" ht="24.65" customHeight="1">
      <c r="A3" s="111" t="s">
        <v>76</v>
      </c>
      <c r="B3" s="96">
        <v>0.15</v>
      </c>
      <c r="C3" s="127" t="s">
        <v>96</v>
      </c>
    </row>
    <row r="4" spans="1:3" s="67" customFormat="1" ht="24.65" customHeight="1">
      <c r="A4" s="112" t="s">
        <v>111</v>
      </c>
      <c r="B4" s="97">
        <v>0.05</v>
      </c>
      <c r="C4" s="127" t="s">
        <v>412</v>
      </c>
    </row>
    <row r="5" spans="1:3" s="67" customFormat="1" ht="24.65" customHeight="1">
      <c r="A5" s="113" t="s">
        <v>36</v>
      </c>
      <c r="B5" s="97">
        <v>2</v>
      </c>
      <c r="C5" s="127"/>
    </row>
    <row r="6" spans="1:3" s="67" customFormat="1" ht="24.65" customHeight="1">
      <c r="A6" s="113" t="s">
        <v>94</v>
      </c>
      <c r="B6" s="98">
        <v>0.8</v>
      </c>
      <c r="C6" s="127" t="s">
        <v>91</v>
      </c>
    </row>
    <row r="7" spans="1:3" s="67" customFormat="1" ht="24.65" customHeight="1">
      <c r="A7" s="114" t="s">
        <v>18</v>
      </c>
      <c r="B7" s="99">
        <v>0.1</v>
      </c>
      <c r="C7" s="127" t="s">
        <v>489</v>
      </c>
    </row>
    <row r="8" spans="1:3" s="67" customFormat="1" ht="24.65" customHeight="1">
      <c r="A8" s="114" t="s">
        <v>50</v>
      </c>
      <c r="B8" s="99">
        <v>0.15</v>
      </c>
      <c r="C8" s="127" t="s">
        <v>490</v>
      </c>
    </row>
    <row r="9" spans="1:3" s="67" customFormat="1" ht="36">
      <c r="A9" s="114"/>
      <c r="B9" s="99">
        <v>0.1</v>
      </c>
      <c r="C9" s="127" t="s">
        <v>372</v>
      </c>
    </row>
    <row r="10" spans="1:3" s="67" customFormat="1" ht="36">
      <c r="A10" s="114"/>
      <c r="B10" s="99">
        <v>0.1</v>
      </c>
      <c r="C10" s="127" t="s">
        <v>500</v>
      </c>
    </row>
    <row r="11" spans="1:3" ht="24.65" customHeight="1">
      <c r="A11" s="113" t="s">
        <v>9</v>
      </c>
      <c r="B11" s="99">
        <v>0.5</v>
      </c>
      <c r="C11" s="129" t="s">
        <v>225</v>
      </c>
    </row>
    <row r="12" spans="1:3" s="67" customFormat="1" ht="24.65" customHeight="1">
      <c r="A12" s="114" t="s">
        <v>2</v>
      </c>
      <c r="B12" s="99">
        <v>0.5</v>
      </c>
      <c r="C12" s="127" t="s">
        <v>438</v>
      </c>
    </row>
    <row r="13" spans="1:3" s="67" customFormat="1" ht="24.65" customHeight="1">
      <c r="A13" s="114" t="s">
        <v>115</v>
      </c>
      <c r="B13" s="99">
        <v>0</v>
      </c>
      <c r="C13" s="127" t="s">
        <v>491</v>
      </c>
    </row>
    <row r="14" spans="1:3" s="67" customFormat="1" ht="24.65" customHeight="1">
      <c r="A14" s="114" t="s">
        <v>116</v>
      </c>
      <c r="B14" s="99">
        <v>0</v>
      </c>
      <c r="C14" s="127" t="s">
        <v>492</v>
      </c>
    </row>
    <row r="15" spans="1:3" s="67" customFormat="1" ht="24.65" customHeight="1">
      <c r="A15" s="113" t="s">
        <v>19</v>
      </c>
      <c r="B15" s="100">
        <v>1</v>
      </c>
      <c r="C15" s="127" t="s">
        <v>241</v>
      </c>
    </row>
    <row r="16" spans="1:3" ht="24.65" customHeight="1">
      <c r="A16" s="113" t="s">
        <v>39</v>
      </c>
      <c r="B16" s="101">
        <v>10</v>
      </c>
      <c r="C16" s="129" t="s">
        <v>41</v>
      </c>
    </row>
    <row r="17" spans="1:3" ht="24.65" customHeight="1">
      <c r="A17" s="111" t="s">
        <v>40</v>
      </c>
      <c r="B17" s="101">
        <v>10</v>
      </c>
      <c r="C17" s="129" t="s">
        <v>42</v>
      </c>
    </row>
    <row r="18" spans="1:3" ht="24.65" hidden="1" customHeight="1">
      <c r="A18" s="111" t="s">
        <v>118</v>
      </c>
      <c r="B18" s="102">
        <v>11.68434846310646</v>
      </c>
      <c r="C18" s="127" t="s">
        <v>29</v>
      </c>
    </row>
    <row r="19" spans="1:3" s="67" customFormat="1" ht="24.65" hidden="1" customHeight="1">
      <c r="A19" s="113" t="s">
        <v>86</v>
      </c>
      <c r="B19" s="234">
        <f>IF(B5=2,TINV(B4,B18-B15-1),TINV(B4*2,B18-B15-1))</f>
        <v>2.2621571627982053</v>
      </c>
      <c r="C19" s="127" t="s">
        <v>62</v>
      </c>
    </row>
    <row r="20" spans="1:3" s="67" customFormat="1" ht="24.65" hidden="1" customHeight="1">
      <c r="A20" s="113" t="s">
        <v>87</v>
      </c>
      <c r="B20" s="234">
        <f>IF(B6&gt;=0.5,TINV((1-B6)*2,B18-B15-1),TINV(B6*2,B18-B15-1))</f>
        <v>0.88340385968553581</v>
      </c>
      <c r="C20" s="127" t="s">
        <v>63</v>
      </c>
    </row>
    <row r="21" spans="1:3" s="67" customFormat="1" ht="24.65" hidden="1" customHeight="1">
      <c r="A21" s="113" t="s">
        <v>89</v>
      </c>
      <c r="B21" s="234">
        <f>IF(B6&gt;=0.5,(B19+B20),(B19-B20))</f>
        <v>3.1455610224837409</v>
      </c>
      <c r="C21" s="127" t="s">
        <v>109</v>
      </c>
    </row>
    <row r="22" spans="1:3" s="67" customFormat="1" ht="24.65" customHeight="1">
      <c r="A22" s="113" t="s">
        <v>88</v>
      </c>
      <c r="B22" s="234">
        <f>IF(B6&gt;=0.5,(IF(B5=2,TINV(B4,B23-B15-1),TINV(B4*2,B23-B15-1))+IF(B6&gt;=0.5,TINV((1-B6)*2,B23-B15-1),TINV(B6*2,B23-B15-1))),(IF(B5=2,TINV(B4,B23-B15-1),TINV(B4*2,B23-B15-1))-IF(B6&gt;=0.5,TINV((1-B6)*2,B23-B15-1),TINV(B6*2,B23-B15-1))))</f>
        <v>3.1455610224837409</v>
      </c>
      <c r="C22" s="127" t="s">
        <v>521</v>
      </c>
    </row>
    <row r="23" spans="1:3" ht="24.65" customHeight="1" thickBot="1">
      <c r="A23" s="233" t="s">
        <v>119</v>
      </c>
      <c r="B23" s="116">
        <v>11.7</v>
      </c>
      <c r="C23" s="232" t="s">
        <v>400</v>
      </c>
    </row>
    <row r="24" spans="1:3" ht="39.75" customHeight="1">
      <c r="A24" s="34"/>
    </row>
    <row r="26" spans="1:3">
      <c r="A26" s="340" t="s">
        <v>415</v>
      </c>
      <c r="B26" s="340"/>
      <c r="C26" s="340"/>
    </row>
  </sheetData>
  <mergeCells count="2">
    <mergeCell ref="A1:C1"/>
    <mergeCell ref="A26:C26"/>
  </mergeCells>
  <printOptions horizontalCentered="1"/>
  <pageMargins left="1" right="1" top="1" bottom="1" header="0.5" footer="0.5"/>
  <pageSetup scale="50"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69985" r:id="rId4">
          <objectPr defaultSize="0" autoPict="0" r:id="rId5">
            <anchor moveWithCells="1">
              <from>
                <xdr:col>0</xdr:col>
                <xdr:colOff>44450</xdr:colOff>
                <xdr:row>9</xdr:row>
                <xdr:rowOff>38100</xdr:rowOff>
              </from>
              <to>
                <xdr:col>0</xdr:col>
                <xdr:colOff>463550</xdr:colOff>
                <xdr:row>9</xdr:row>
                <xdr:rowOff>330200</xdr:rowOff>
              </to>
            </anchor>
          </objectPr>
        </oleObject>
      </mc:Choice>
      <mc:Fallback>
        <oleObject progId="Equation.3" shapeId="169985" r:id="rId4"/>
      </mc:Fallback>
    </mc:AlternateContent>
    <mc:AlternateContent xmlns:mc="http://schemas.openxmlformats.org/markup-compatibility/2006">
      <mc:Choice Requires="x14">
        <oleObject progId="Equation.3" shapeId="169986" r:id="rId6">
          <objectPr defaultSize="0" autoPict="0" r:id="rId7">
            <anchor moveWithCells="1">
              <from>
                <xdr:col>0</xdr:col>
                <xdr:colOff>38100</xdr:colOff>
                <xdr:row>8</xdr:row>
                <xdr:rowOff>69850</xdr:rowOff>
              </from>
              <to>
                <xdr:col>0</xdr:col>
                <xdr:colOff>488950</xdr:colOff>
                <xdr:row>8</xdr:row>
                <xdr:rowOff>374650</xdr:rowOff>
              </to>
            </anchor>
          </objectPr>
        </oleObject>
      </mc:Choice>
      <mc:Fallback>
        <oleObject progId="Equation.3" shapeId="169986" r:id="rId6"/>
      </mc:Fallback>
    </mc:AlternateContent>
  </oleObjects>
  <mc:AlternateContent xmlns:mc="http://schemas.openxmlformats.org/markup-compatibility/2006">
    <mc:Choice Requires="x14">
      <controls>
        <mc:AlternateContent xmlns:mc="http://schemas.openxmlformats.org/markup-compatibility/2006">
          <mc:Choice Requires="x14">
            <control shapeId="169988" r:id="rId8" name="Button 4">
              <controlPr defaultSize="0" print="0" autoFill="0" autoPict="0" macro="[0]!N_BRA3_1r">
                <anchor moveWithCells="1" sizeWithCells="1">
                  <from>
                    <xdr:col>0</xdr:col>
                    <xdr:colOff>2832100</xdr:colOff>
                    <xdr:row>23</xdr:row>
                    <xdr:rowOff>139700</xdr:rowOff>
                  </from>
                  <to>
                    <xdr:col>2</xdr:col>
                    <xdr:colOff>6350</xdr:colOff>
                    <xdr:row>23</xdr:row>
                    <xdr:rowOff>482600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8">
    <tabColor theme="7" tint="0.39997558519241921"/>
    <pageSetUpPr fitToPage="1"/>
  </sheetPr>
  <dimension ref="A1:C30"/>
  <sheetViews>
    <sheetView showGridLines="0" zoomScale="80" zoomScaleNormal="80" workbookViewId="0">
      <selection activeCell="C5" sqref="C5"/>
    </sheetView>
  </sheetViews>
  <sheetFormatPr defaultColWidth="9.08984375" defaultRowHeight="18"/>
  <cols>
    <col min="1" max="1" width="40.08984375" style="39" customWidth="1"/>
    <col min="2" max="2" width="13.36328125" style="61" customWidth="1"/>
    <col min="3" max="3" width="147.1796875" style="10" customWidth="1"/>
    <col min="4" max="16384" width="9.08984375" style="39"/>
  </cols>
  <sheetData>
    <row r="1" spans="1:3" s="10" customFormat="1" ht="30" customHeight="1">
      <c r="A1" s="333" t="s">
        <v>373</v>
      </c>
      <c r="B1" s="334"/>
      <c r="C1" s="335"/>
    </row>
    <row r="2" spans="1:3" s="10" customFormat="1" ht="20.399999999999999" customHeight="1">
      <c r="A2" s="235" t="s">
        <v>0</v>
      </c>
      <c r="B2" s="79"/>
      <c r="C2" s="236" t="s">
        <v>1</v>
      </c>
    </row>
    <row r="3" spans="1:3" s="10" customFormat="1" ht="20.399999999999999" customHeight="1">
      <c r="A3" s="111" t="s">
        <v>76</v>
      </c>
      <c r="B3" s="99">
        <v>0.1</v>
      </c>
      <c r="C3" s="127" t="s">
        <v>76</v>
      </c>
    </row>
    <row r="4" spans="1:3" s="10" customFormat="1" ht="20.399999999999999" customHeight="1">
      <c r="A4" s="112" t="s">
        <v>111</v>
      </c>
      <c r="B4" s="97">
        <v>0.05</v>
      </c>
      <c r="C4" s="127" t="s">
        <v>412</v>
      </c>
    </row>
    <row r="5" spans="1:3" s="10" customFormat="1" ht="20.399999999999999" customHeight="1">
      <c r="A5" s="113" t="s">
        <v>36</v>
      </c>
      <c r="B5" s="97">
        <v>2</v>
      </c>
      <c r="C5" s="127"/>
    </row>
    <row r="6" spans="1:3" s="10" customFormat="1" ht="20.399999999999999" customHeight="1">
      <c r="A6" s="113" t="s">
        <v>94</v>
      </c>
      <c r="B6" s="98">
        <v>0.8</v>
      </c>
      <c r="C6" s="127" t="s">
        <v>91</v>
      </c>
    </row>
    <row r="7" spans="1:3" s="67" customFormat="1" ht="20.399999999999999" customHeight="1">
      <c r="A7" s="114" t="s">
        <v>22</v>
      </c>
      <c r="B7" s="99">
        <v>0.05</v>
      </c>
      <c r="C7" s="127" t="s">
        <v>496</v>
      </c>
    </row>
    <row r="8" spans="1:3" s="67" customFormat="1" ht="20.399999999999999" customHeight="1">
      <c r="A8" s="114" t="s">
        <v>18</v>
      </c>
      <c r="B8" s="99">
        <v>0.15</v>
      </c>
      <c r="C8" s="127" t="s">
        <v>497</v>
      </c>
    </row>
    <row r="9" spans="1:3" s="67" customFormat="1" ht="20.399999999999999" customHeight="1">
      <c r="A9" s="114" t="s">
        <v>50</v>
      </c>
      <c r="B9" s="99">
        <v>0.15</v>
      </c>
      <c r="C9" s="127" t="s">
        <v>498</v>
      </c>
    </row>
    <row r="10" spans="1:3" s="67" customFormat="1" ht="20.399999999999999" customHeight="1">
      <c r="A10" s="114"/>
      <c r="B10" s="99">
        <v>0.5</v>
      </c>
      <c r="C10" s="127" t="s">
        <v>499</v>
      </c>
    </row>
    <row r="11" spans="1:3" s="67" customFormat="1" ht="20.399999999999999" customHeight="1">
      <c r="A11" s="114"/>
      <c r="B11" s="99">
        <v>0.5</v>
      </c>
      <c r="C11" s="127" t="s">
        <v>501</v>
      </c>
    </row>
    <row r="12" spans="1:3" s="67" customFormat="1" ht="20.399999999999999" customHeight="1">
      <c r="A12" s="114"/>
      <c r="B12" s="99">
        <v>0.5</v>
      </c>
      <c r="C12" s="127" t="s">
        <v>502</v>
      </c>
    </row>
    <row r="13" spans="1:3" s="10" customFormat="1" ht="20.399999999999999" customHeight="1">
      <c r="A13" s="113" t="s">
        <v>9</v>
      </c>
      <c r="B13" s="99">
        <v>0.5</v>
      </c>
      <c r="C13" s="127" t="s">
        <v>240</v>
      </c>
    </row>
    <row r="14" spans="1:3" s="67" customFormat="1" ht="20.399999999999999" customHeight="1">
      <c r="A14" s="114" t="s">
        <v>2</v>
      </c>
      <c r="B14" s="99">
        <v>0.5</v>
      </c>
      <c r="C14" s="127" t="s">
        <v>495</v>
      </c>
    </row>
    <row r="15" spans="1:3" s="67" customFormat="1" ht="20.399999999999999" customHeight="1">
      <c r="A15" s="114" t="s">
        <v>115</v>
      </c>
      <c r="B15" s="99">
        <v>0.5</v>
      </c>
      <c r="C15" s="127" t="s">
        <v>494</v>
      </c>
    </row>
    <row r="16" spans="1:3" s="67" customFormat="1" ht="20.399999999999999" customHeight="1">
      <c r="A16" s="114" t="s">
        <v>116</v>
      </c>
      <c r="B16" s="99">
        <v>0.5</v>
      </c>
      <c r="C16" s="127" t="s">
        <v>493</v>
      </c>
    </row>
    <row r="17" spans="1:3" s="67" customFormat="1" ht="20.399999999999999" customHeight="1">
      <c r="A17" s="114" t="s">
        <v>117</v>
      </c>
      <c r="B17" s="99">
        <v>0.5</v>
      </c>
      <c r="C17" s="127" t="s">
        <v>352</v>
      </c>
    </row>
    <row r="18" spans="1:3" s="67" customFormat="1" ht="20.399999999999999" customHeight="1">
      <c r="A18" s="113" t="s">
        <v>21</v>
      </c>
      <c r="B18" s="100">
        <v>1</v>
      </c>
      <c r="C18" s="127" t="s">
        <v>298</v>
      </c>
    </row>
    <row r="19" spans="1:3" s="10" customFormat="1" ht="20.399999999999999" customHeight="1">
      <c r="A19" s="113" t="s">
        <v>39</v>
      </c>
      <c r="B19" s="101">
        <v>10</v>
      </c>
      <c r="C19" s="127" t="s">
        <v>289</v>
      </c>
    </row>
    <row r="20" spans="1:3" s="10" customFormat="1" ht="20.399999999999999" customHeight="1">
      <c r="A20" s="111" t="s">
        <v>40</v>
      </c>
      <c r="B20" s="101">
        <v>4</v>
      </c>
      <c r="C20" s="127" t="s">
        <v>42</v>
      </c>
    </row>
    <row r="21" spans="1:3" s="10" customFormat="1" ht="20.399999999999999" customHeight="1">
      <c r="A21" s="111" t="s">
        <v>44</v>
      </c>
      <c r="B21" s="101">
        <v>4</v>
      </c>
      <c r="C21" s="129" t="s">
        <v>43</v>
      </c>
    </row>
    <row r="22" spans="1:3" s="10" customFormat="1" ht="20.399999999999999" hidden="1" customHeight="1">
      <c r="A22" s="111" t="s">
        <v>120</v>
      </c>
      <c r="B22" s="102">
        <v>27.459904914945668</v>
      </c>
      <c r="C22" s="127" t="s">
        <v>33</v>
      </c>
    </row>
    <row r="23" spans="1:3" s="10" customFormat="1" ht="20.399999999999999" hidden="1" customHeight="1">
      <c r="A23" s="113" t="s">
        <v>86</v>
      </c>
      <c r="B23" s="78">
        <f>IF(B5=2,TINV(B4,B22-B18-1),TINV(B4*2,B22-B18-1))</f>
        <v>2.0595385527532977</v>
      </c>
      <c r="C23" s="127" t="s">
        <v>62</v>
      </c>
    </row>
    <row r="24" spans="1:3" s="10" customFormat="1" ht="20.399999999999999" hidden="1" customHeight="1">
      <c r="A24" s="113" t="s">
        <v>87</v>
      </c>
      <c r="B24" s="78">
        <f>IF(B6&gt;=0.5,TINV((1-B6)*2,B22-B18-1),TINV(B6*2,B22-B18-1))</f>
        <v>0.85623615767646943</v>
      </c>
      <c r="C24" s="127" t="s">
        <v>63</v>
      </c>
    </row>
    <row r="25" spans="1:3" s="10" customFormat="1" ht="20.399999999999999" hidden="1" customHeight="1">
      <c r="A25" s="113" t="s">
        <v>89</v>
      </c>
      <c r="B25" s="78">
        <f>IF(B6&gt;=0.5,(B23+B24),(B23-B24))</f>
        <v>2.9157747104297673</v>
      </c>
      <c r="C25" s="127" t="s">
        <v>109</v>
      </c>
    </row>
    <row r="26" spans="1:3" s="10" customFormat="1" ht="20.399999999999999" customHeight="1">
      <c r="A26" s="113" t="s">
        <v>88</v>
      </c>
      <c r="B26" s="78">
        <f>IF(B6&gt;=0.5,(IF(B5=2,TINV(B4,B27-B18-1),TINV(B4*2,B27-B18-1))+IF(B6&gt;=0.5,TINV((1-B6)*2,B27-B18-1),TINV(B6*2,B27-B18-1))),(IF(B5=2,TINV(B4,B27-B18-1),TINV(B4*2,B27-B18-1))-IF(B6&gt;=0.5,TINV((1-B6)*2,B27-B18-1),TINV(B6*2,B27-B18-1))))</f>
        <v>2.9157747104297673</v>
      </c>
      <c r="C26" s="127" t="s">
        <v>521</v>
      </c>
    </row>
    <row r="27" spans="1:3" s="10" customFormat="1" ht="20.399999999999999" customHeight="1" thickBot="1">
      <c r="A27" s="233" t="s">
        <v>121</v>
      </c>
      <c r="B27" s="116">
        <v>27.5</v>
      </c>
      <c r="C27" s="232" t="s">
        <v>400</v>
      </c>
    </row>
    <row r="28" spans="1:3" ht="46.25" customHeight="1">
      <c r="A28" s="34"/>
    </row>
    <row r="29" spans="1:3" ht="3.65" customHeight="1">
      <c r="A29" s="34"/>
    </row>
    <row r="30" spans="1:3">
      <c r="A30" s="340" t="s">
        <v>415</v>
      </c>
      <c r="B30" s="340"/>
      <c r="C30" s="340"/>
    </row>
  </sheetData>
  <mergeCells count="2">
    <mergeCell ref="A1:C1"/>
    <mergeCell ref="A30:C30"/>
  </mergeCells>
  <printOptions horizontalCentered="1"/>
  <pageMargins left="1" right="1" top="1" bottom="1" header="0.5" footer="0.5"/>
  <pageSetup scale="50"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71009" r:id="rId4">
          <objectPr defaultSize="0" autoPict="0" r:id="rId5">
            <anchor moveWithCells="1">
              <from>
                <xdr:col>0</xdr:col>
                <xdr:colOff>63500</xdr:colOff>
                <xdr:row>9</xdr:row>
                <xdr:rowOff>12700</xdr:rowOff>
              </from>
              <to>
                <xdr:col>0</xdr:col>
                <xdr:colOff>450850</xdr:colOff>
                <xdr:row>10</xdr:row>
                <xdr:rowOff>0</xdr:rowOff>
              </to>
            </anchor>
          </objectPr>
        </oleObject>
      </mc:Choice>
      <mc:Fallback>
        <oleObject progId="Equation.3" shapeId="171009" r:id="rId4"/>
      </mc:Fallback>
    </mc:AlternateContent>
    <mc:AlternateContent xmlns:mc="http://schemas.openxmlformats.org/markup-compatibility/2006">
      <mc:Choice Requires="x14">
        <oleObject progId="Equation.3" shapeId="171010" r:id="rId6">
          <objectPr defaultSize="0" autoPict="0" r:id="rId7">
            <anchor moveWithCells="1">
              <from>
                <xdr:col>0</xdr:col>
                <xdr:colOff>50800</xdr:colOff>
                <xdr:row>10</xdr:row>
                <xdr:rowOff>12700</xdr:rowOff>
              </from>
              <to>
                <xdr:col>0</xdr:col>
                <xdr:colOff>488950</xdr:colOff>
                <xdr:row>11</xdr:row>
                <xdr:rowOff>25400</xdr:rowOff>
              </to>
            </anchor>
          </objectPr>
        </oleObject>
      </mc:Choice>
      <mc:Fallback>
        <oleObject progId="Equation.3" shapeId="171010" r:id="rId6"/>
      </mc:Fallback>
    </mc:AlternateContent>
    <mc:AlternateContent xmlns:mc="http://schemas.openxmlformats.org/markup-compatibility/2006">
      <mc:Choice Requires="x14">
        <oleObject progId="Equation.3" shapeId="171011" r:id="rId8">
          <objectPr defaultSize="0" autoPict="0" r:id="rId9">
            <anchor moveWithCells="1">
              <from>
                <xdr:col>0</xdr:col>
                <xdr:colOff>82550</xdr:colOff>
                <xdr:row>11</xdr:row>
                <xdr:rowOff>6350</xdr:rowOff>
              </from>
              <to>
                <xdr:col>0</xdr:col>
                <xdr:colOff>450850</xdr:colOff>
                <xdr:row>12</xdr:row>
                <xdr:rowOff>0</xdr:rowOff>
              </to>
            </anchor>
          </objectPr>
        </oleObject>
      </mc:Choice>
      <mc:Fallback>
        <oleObject progId="Equation.3" shapeId="171011" r:id="rId8"/>
      </mc:Fallback>
    </mc:AlternateContent>
  </oleObjects>
  <mc:AlternateContent xmlns:mc="http://schemas.openxmlformats.org/markup-compatibility/2006">
    <mc:Choice Requires="x14">
      <controls>
        <mc:AlternateContent xmlns:mc="http://schemas.openxmlformats.org/markup-compatibility/2006">
          <mc:Choice Requires="x14">
            <control shapeId="171015" r:id="rId10" name="Button 7">
              <controlPr defaultSize="0" print="0" autoFill="0" autoPict="0" macro="[0]!N_BRA4_1r">
                <anchor moveWithCells="1" sizeWithCells="1">
                  <from>
                    <xdr:col>1</xdr:col>
                    <xdr:colOff>0</xdr:colOff>
                    <xdr:row>27</xdr:row>
                    <xdr:rowOff>114300</xdr:rowOff>
                  </from>
                  <to>
                    <xdr:col>1</xdr:col>
                    <xdr:colOff>882650</xdr:colOff>
                    <xdr:row>27</xdr:row>
                    <xdr:rowOff>457200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0">
    <tabColor rgb="FF00B0F0"/>
    <pageSetUpPr fitToPage="1"/>
  </sheetPr>
  <dimension ref="A1:HZ23"/>
  <sheetViews>
    <sheetView showGridLines="0" topLeftCell="A2" zoomScale="90" zoomScaleNormal="90" workbookViewId="0">
      <selection activeCell="B20" sqref="B20"/>
    </sheetView>
  </sheetViews>
  <sheetFormatPr defaultColWidth="9.08984375" defaultRowHeight="18"/>
  <cols>
    <col min="1" max="1" width="44.90625" style="39" customWidth="1"/>
    <col min="2" max="2" width="12.453125" style="39" customWidth="1"/>
    <col min="3" max="3" width="86.54296875" style="39" customWidth="1"/>
    <col min="4" max="16384" width="9.08984375" style="39"/>
  </cols>
  <sheetData>
    <row r="1" spans="1:234" ht="34.25" customHeight="1">
      <c r="A1" s="333" t="s">
        <v>377</v>
      </c>
      <c r="B1" s="334"/>
      <c r="C1" s="335"/>
    </row>
    <row r="2" spans="1:234" s="10" customFormat="1" ht="19.25" customHeight="1">
      <c r="A2" s="110" t="s">
        <v>0</v>
      </c>
      <c r="B2" s="238"/>
      <c r="C2" s="181" t="s">
        <v>1</v>
      </c>
      <c r="D2" s="239"/>
    </row>
    <row r="3" spans="1:234" s="10" customFormat="1" ht="19.25" customHeight="1">
      <c r="A3" s="111" t="s">
        <v>76</v>
      </c>
      <c r="B3" s="144">
        <v>0.45</v>
      </c>
      <c r="C3" s="129" t="s">
        <v>76</v>
      </c>
    </row>
    <row r="4" spans="1:234" s="10" customFormat="1" ht="19.25" customHeight="1">
      <c r="A4" s="112" t="s">
        <v>111</v>
      </c>
      <c r="B4" s="98">
        <v>0.05</v>
      </c>
      <c r="C4" s="158" t="s">
        <v>411</v>
      </c>
    </row>
    <row r="5" spans="1:234" s="10" customFormat="1" ht="19.25" customHeight="1">
      <c r="A5" s="113" t="s">
        <v>36</v>
      </c>
      <c r="B5" s="97">
        <v>2</v>
      </c>
      <c r="C5" s="158"/>
    </row>
    <row r="6" spans="1:234" s="10" customFormat="1" ht="19.25" customHeight="1">
      <c r="A6" s="113" t="s">
        <v>94</v>
      </c>
      <c r="B6" s="98">
        <v>0.8</v>
      </c>
      <c r="C6" s="158" t="s">
        <v>91</v>
      </c>
    </row>
    <row r="7" spans="1:234" s="10" customFormat="1" ht="19.25" customHeight="1">
      <c r="A7" s="111" t="s">
        <v>258</v>
      </c>
      <c r="B7" s="144">
        <v>0.02</v>
      </c>
      <c r="C7" s="127" t="s">
        <v>503</v>
      </c>
    </row>
    <row r="8" spans="1:234" s="10" customFormat="1" ht="19.25" customHeight="1">
      <c r="A8" s="113" t="s">
        <v>26</v>
      </c>
      <c r="B8" s="154">
        <v>60</v>
      </c>
      <c r="C8" s="128" t="s">
        <v>37</v>
      </c>
    </row>
    <row r="9" spans="1:234" s="10" customFormat="1" ht="19.25" customHeight="1">
      <c r="A9" s="111" t="s">
        <v>291</v>
      </c>
      <c r="B9" s="240">
        <v>1</v>
      </c>
      <c r="C9" s="127" t="s">
        <v>374</v>
      </c>
      <c r="D9" s="241"/>
      <c r="E9" s="241"/>
    </row>
    <row r="10" spans="1:234" s="10" customFormat="1" ht="19.25" customHeight="1">
      <c r="A10" s="113" t="s">
        <v>292</v>
      </c>
      <c r="B10" s="240">
        <v>1</v>
      </c>
      <c r="C10" s="127" t="s">
        <v>375</v>
      </c>
    </row>
    <row r="11" spans="1:234" s="10" customFormat="1" ht="19.25" customHeight="1">
      <c r="A11" s="113" t="s">
        <v>259</v>
      </c>
      <c r="B11" s="242">
        <v>0.5</v>
      </c>
      <c r="C11" s="129" t="s">
        <v>290</v>
      </c>
    </row>
    <row r="12" spans="1:234" s="10" customFormat="1" ht="19.25" customHeight="1">
      <c r="A12" s="114" t="s">
        <v>2</v>
      </c>
      <c r="B12" s="242">
        <v>0.01</v>
      </c>
      <c r="C12" s="127" t="s">
        <v>423</v>
      </c>
    </row>
    <row r="13" spans="1:234" s="10" customFormat="1" ht="19.25" customHeight="1">
      <c r="A13" s="114" t="s">
        <v>51</v>
      </c>
      <c r="B13" s="242">
        <v>0.13</v>
      </c>
      <c r="C13" s="127" t="s">
        <v>311</v>
      </c>
    </row>
    <row r="14" spans="1:234" s="243" customFormat="1">
      <c r="A14" s="114" t="s">
        <v>260</v>
      </c>
      <c r="B14" s="153">
        <v>4</v>
      </c>
      <c r="C14" s="127" t="s">
        <v>245</v>
      </c>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row>
    <row r="15" spans="1:234" s="245" customFormat="1" ht="0.65" customHeight="1">
      <c r="A15" s="111" t="s">
        <v>60</v>
      </c>
      <c r="B15" s="244">
        <v>10.708276795667402</v>
      </c>
      <c r="C15" s="127"/>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row>
    <row r="16" spans="1:234" s="245" customFormat="1" ht="21" hidden="1">
      <c r="A16" s="113" t="s">
        <v>86</v>
      </c>
      <c r="B16" s="246">
        <f>IF(B5=2,TINV(B4,B15*B9-B14-2),TINV(B4*2,B15*B9-B14-2))</f>
        <v>2.7764451051977934</v>
      </c>
      <c r="C16" s="127" t="s">
        <v>62</v>
      </c>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c r="DT16" s="10"/>
      <c r="DU16" s="10"/>
      <c r="DV16" s="10"/>
      <c r="DW16" s="10"/>
      <c r="DX16" s="10"/>
      <c r="DY16" s="10"/>
      <c r="DZ16" s="10"/>
      <c r="EA16" s="10"/>
      <c r="EB16" s="10"/>
      <c r="EC16" s="10"/>
      <c r="ED16" s="10"/>
      <c r="EE16" s="10"/>
      <c r="EF16" s="10"/>
      <c r="EG16" s="10"/>
      <c r="EH16" s="10"/>
      <c r="EI16" s="10"/>
      <c r="EJ16" s="10"/>
      <c r="EK16" s="10"/>
      <c r="EL16" s="10"/>
      <c r="EM16" s="10"/>
      <c r="EN16" s="10"/>
      <c r="EO16" s="10"/>
      <c r="EP16" s="10"/>
      <c r="EQ16" s="10"/>
      <c r="ER16" s="10"/>
      <c r="ES16" s="10"/>
      <c r="ET16" s="10"/>
      <c r="EU16" s="10"/>
      <c r="EV16" s="10"/>
      <c r="EW16" s="10"/>
      <c r="EX16" s="10"/>
      <c r="EY16" s="10"/>
      <c r="EZ16" s="10"/>
      <c r="FA16" s="10"/>
      <c r="FB16" s="10"/>
      <c r="FC16" s="10"/>
      <c r="FD16" s="10"/>
      <c r="FE16" s="10"/>
      <c r="FF16" s="10"/>
      <c r="FG16" s="10"/>
      <c r="FH16" s="10"/>
      <c r="FI16" s="10"/>
      <c r="FJ16" s="10"/>
      <c r="FK16" s="10"/>
      <c r="FL16" s="10"/>
      <c r="FM16" s="10"/>
      <c r="FN16" s="10"/>
      <c r="FO16" s="10"/>
      <c r="FP16" s="10"/>
      <c r="FQ16" s="10"/>
      <c r="FR16" s="10"/>
      <c r="FS16" s="10"/>
      <c r="FT16" s="10"/>
      <c r="FU16" s="10"/>
      <c r="FV16" s="10"/>
      <c r="FW16" s="10"/>
      <c r="FX16" s="10"/>
      <c r="FY16" s="10"/>
      <c r="FZ16" s="10"/>
      <c r="GA16" s="10"/>
      <c r="GB16" s="10"/>
      <c r="GC16" s="10"/>
      <c r="GD16" s="10"/>
      <c r="GE16" s="10"/>
      <c r="GF16" s="10"/>
      <c r="GG16" s="10"/>
      <c r="GH16" s="10"/>
      <c r="GI16" s="10"/>
      <c r="GJ16" s="10"/>
      <c r="GK16" s="10"/>
      <c r="GL16" s="10"/>
      <c r="GM16" s="10"/>
      <c r="GN16" s="10"/>
      <c r="GO16" s="10"/>
      <c r="GP16" s="10"/>
      <c r="GQ16" s="10"/>
      <c r="GR16" s="10"/>
      <c r="GS16" s="10"/>
      <c r="GT16" s="10"/>
      <c r="GU16" s="10"/>
      <c r="GV16" s="10"/>
      <c r="GW16" s="10"/>
      <c r="GX16" s="10"/>
      <c r="GY16" s="10"/>
      <c r="GZ16" s="10"/>
      <c r="HA16" s="10"/>
      <c r="HB16" s="10"/>
      <c r="HC16" s="10"/>
      <c r="HD16" s="10"/>
      <c r="HE16" s="10"/>
      <c r="HF16" s="10"/>
      <c r="HG16" s="10"/>
      <c r="HH16" s="10"/>
      <c r="HI16" s="10"/>
      <c r="HJ16" s="10"/>
      <c r="HK16" s="10"/>
      <c r="HL16" s="10"/>
      <c r="HM16" s="10"/>
      <c r="HN16" s="10"/>
      <c r="HO16" s="10"/>
      <c r="HP16" s="10"/>
      <c r="HQ16" s="10"/>
      <c r="HR16" s="10"/>
      <c r="HS16" s="10"/>
      <c r="HT16" s="10"/>
      <c r="HU16" s="10"/>
      <c r="HV16" s="10"/>
      <c r="HW16" s="10"/>
      <c r="HX16" s="10"/>
      <c r="HY16" s="10"/>
      <c r="HZ16" s="10"/>
    </row>
    <row r="17" spans="1:234" s="245" customFormat="1" ht="21" hidden="1">
      <c r="A17" s="113" t="s">
        <v>87</v>
      </c>
      <c r="B17" s="246">
        <f>TINV((1-B6)*2,B15*B9-B14-2)</f>
        <v>0.94096457723518112</v>
      </c>
      <c r="C17" s="127" t="s">
        <v>63</v>
      </c>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c r="DT17" s="10"/>
      <c r="DU17" s="10"/>
      <c r="DV17" s="10"/>
      <c r="DW17" s="10"/>
      <c r="DX17" s="10"/>
      <c r="DY17" s="10"/>
      <c r="DZ17" s="10"/>
      <c r="EA17" s="10"/>
      <c r="EB17" s="10"/>
      <c r="EC17" s="10"/>
      <c r="ED17" s="10"/>
      <c r="EE17" s="10"/>
      <c r="EF17" s="10"/>
      <c r="EG17" s="10"/>
      <c r="EH17" s="10"/>
      <c r="EI17" s="10"/>
      <c r="EJ17" s="10"/>
      <c r="EK17" s="10"/>
      <c r="EL17" s="10"/>
      <c r="EM17" s="10"/>
      <c r="EN17" s="10"/>
      <c r="EO17" s="10"/>
      <c r="EP17" s="10"/>
      <c r="EQ17" s="10"/>
      <c r="ER17" s="10"/>
      <c r="ES17" s="10"/>
      <c r="ET17" s="10"/>
      <c r="EU17" s="10"/>
      <c r="EV17" s="10"/>
      <c r="EW17" s="10"/>
      <c r="EX17" s="10"/>
      <c r="EY17" s="10"/>
      <c r="EZ17" s="10"/>
      <c r="FA17" s="10"/>
      <c r="FB17" s="10"/>
      <c r="FC17" s="10"/>
      <c r="FD17" s="10"/>
      <c r="FE17" s="10"/>
      <c r="FF17" s="10"/>
      <c r="FG17" s="10"/>
      <c r="FH17" s="10"/>
      <c r="FI17" s="10"/>
      <c r="FJ17" s="10"/>
      <c r="FK17" s="10"/>
      <c r="FL17" s="10"/>
      <c r="FM17" s="10"/>
      <c r="FN17" s="10"/>
      <c r="FO17" s="10"/>
      <c r="FP17" s="10"/>
      <c r="FQ17" s="10"/>
      <c r="FR17" s="10"/>
      <c r="FS17" s="10"/>
      <c r="FT17" s="10"/>
      <c r="FU17" s="10"/>
      <c r="FV17" s="10"/>
      <c r="FW17" s="10"/>
      <c r="FX17" s="10"/>
      <c r="FY17" s="10"/>
      <c r="FZ17" s="10"/>
      <c r="GA17" s="10"/>
      <c r="GB17" s="10"/>
      <c r="GC17" s="10"/>
      <c r="GD17" s="10"/>
      <c r="GE17" s="10"/>
      <c r="GF17" s="10"/>
      <c r="GG17" s="10"/>
      <c r="GH17" s="10"/>
      <c r="GI17" s="10"/>
      <c r="GJ17" s="10"/>
      <c r="GK17" s="10"/>
      <c r="GL17" s="10"/>
      <c r="GM17" s="10"/>
      <c r="GN17" s="10"/>
      <c r="GO17" s="10"/>
      <c r="GP17" s="10"/>
      <c r="GQ17" s="10"/>
      <c r="GR17" s="10"/>
      <c r="GS17" s="10"/>
      <c r="GT17" s="10"/>
      <c r="GU17" s="10"/>
      <c r="GV17" s="10"/>
      <c r="GW17" s="10"/>
      <c r="GX17" s="10"/>
      <c r="GY17" s="10"/>
      <c r="GZ17" s="10"/>
      <c r="HA17" s="10"/>
      <c r="HB17" s="10"/>
      <c r="HC17" s="10"/>
      <c r="HD17" s="10"/>
      <c r="HE17" s="10"/>
      <c r="HF17" s="10"/>
      <c r="HG17" s="10"/>
      <c r="HH17" s="10"/>
      <c r="HI17" s="10"/>
      <c r="HJ17" s="10"/>
      <c r="HK17" s="10"/>
      <c r="HL17" s="10"/>
      <c r="HM17" s="10"/>
      <c r="HN17" s="10"/>
      <c r="HO17" s="10"/>
      <c r="HP17" s="10"/>
      <c r="HQ17" s="10"/>
      <c r="HR17" s="10"/>
      <c r="HS17" s="10"/>
      <c r="HT17" s="10"/>
      <c r="HU17" s="10"/>
      <c r="HV17" s="10"/>
      <c r="HW17" s="10"/>
      <c r="HX17" s="10"/>
      <c r="HY17" s="10"/>
      <c r="HZ17" s="10"/>
    </row>
    <row r="18" spans="1:234" s="245" customFormat="1">
      <c r="A18" s="113" t="s">
        <v>106</v>
      </c>
      <c r="B18" s="246">
        <f>IF(B5=2,TINV(B4,B15*B9-B14-2),TINV(B4*2,B15*B9-B14-2)) + TINV((1-B6)*2,B15*B9-B14-2)</f>
        <v>3.7174096824329745</v>
      </c>
      <c r="C18" s="127" t="s">
        <v>109</v>
      </c>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c r="DT18" s="10"/>
      <c r="DU18" s="10"/>
      <c r="DV18" s="10"/>
      <c r="DW18" s="10"/>
      <c r="DX18" s="10"/>
      <c r="DY18" s="10"/>
      <c r="DZ18" s="10"/>
      <c r="EA18" s="10"/>
      <c r="EB18" s="10"/>
      <c r="EC18" s="10"/>
      <c r="ED18" s="10"/>
      <c r="EE18" s="10"/>
      <c r="EF18" s="10"/>
      <c r="EG18" s="10"/>
      <c r="EH18" s="10"/>
      <c r="EI18" s="10"/>
      <c r="EJ18" s="10"/>
      <c r="EK18" s="10"/>
      <c r="EL18" s="10"/>
      <c r="EM18" s="10"/>
      <c r="EN18" s="10"/>
      <c r="EO18" s="10"/>
      <c r="EP18" s="10"/>
      <c r="EQ18" s="10"/>
      <c r="ER18" s="10"/>
      <c r="ES18" s="10"/>
      <c r="ET18" s="10"/>
      <c r="EU18" s="10"/>
      <c r="EV18" s="10"/>
      <c r="EW18" s="10"/>
      <c r="EX18" s="10"/>
      <c r="EY18" s="10"/>
      <c r="EZ18" s="10"/>
      <c r="FA18" s="10"/>
      <c r="FB18" s="10"/>
      <c r="FC18" s="10"/>
      <c r="FD18" s="10"/>
      <c r="FE18" s="10"/>
      <c r="FF18" s="10"/>
      <c r="FG18" s="10"/>
      <c r="FH18" s="10"/>
      <c r="FI18" s="10"/>
      <c r="FJ18" s="10"/>
      <c r="FK18" s="10"/>
      <c r="FL18" s="10"/>
      <c r="FM18" s="10"/>
      <c r="FN18" s="10"/>
      <c r="FO18" s="10"/>
      <c r="FP18" s="10"/>
      <c r="FQ18" s="10"/>
      <c r="FR18" s="10"/>
      <c r="FS18" s="10"/>
      <c r="FT18" s="10"/>
      <c r="FU18" s="10"/>
      <c r="FV18" s="10"/>
      <c r="FW18" s="10"/>
      <c r="FX18" s="10"/>
      <c r="FY18" s="10"/>
      <c r="FZ18" s="10"/>
      <c r="GA18" s="10"/>
      <c r="GB18" s="10"/>
      <c r="GC18" s="10"/>
      <c r="GD18" s="10"/>
      <c r="GE18" s="10"/>
      <c r="GF18" s="10"/>
      <c r="GG18" s="10"/>
      <c r="GH18" s="10"/>
      <c r="GI18" s="10"/>
      <c r="GJ18" s="10"/>
      <c r="GK18" s="10"/>
      <c r="GL18" s="10"/>
      <c r="GM18" s="10"/>
      <c r="GN18" s="10"/>
      <c r="GO18" s="10"/>
      <c r="GP18" s="10"/>
      <c r="GQ18" s="10"/>
      <c r="GR18" s="10"/>
      <c r="GS18" s="10"/>
      <c r="GT18" s="10"/>
      <c r="GU18" s="10"/>
      <c r="GV18" s="10"/>
      <c r="GW18" s="10"/>
      <c r="GX18" s="10"/>
      <c r="GY18" s="10"/>
      <c r="GZ18" s="10"/>
      <c r="HA18" s="10"/>
      <c r="HB18" s="10"/>
      <c r="HC18" s="10"/>
      <c r="HD18" s="10"/>
      <c r="HE18" s="10"/>
      <c r="HF18" s="10"/>
      <c r="HG18" s="10"/>
      <c r="HH18" s="10"/>
      <c r="HI18" s="10"/>
      <c r="HJ18" s="10"/>
      <c r="HK18" s="10"/>
      <c r="HL18" s="10"/>
      <c r="HM18" s="10"/>
      <c r="HN18" s="10"/>
      <c r="HO18" s="10"/>
      <c r="HP18" s="10"/>
      <c r="HQ18" s="10"/>
      <c r="HR18" s="10"/>
      <c r="HS18" s="10"/>
      <c r="HT18" s="10"/>
      <c r="HU18" s="10"/>
      <c r="HV18" s="10"/>
      <c r="HW18" s="10"/>
      <c r="HX18" s="10"/>
      <c r="HY18" s="10"/>
      <c r="HZ18" s="10"/>
    </row>
    <row r="19" spans="1:234" s="247" customFormat="1" ht="19.25" customHeight="1">
      <c r="A19" s="113" t="s">
        <v>88</v>
      </c>
      <c r="B19" s="78">
        <f>IF(B5=2,TINV(B4,B20*B9-B14-2),TINV(B4*2,B20*B9-B14-2)) + TINV((1-B6)*2,B20*B9-B14-2)</f>
        <v>3.7174096824329745</v>
      </c>
      <c r="C19" s="128" t="s">
        <v>521</v>
      </c>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c r="DT19" s="10"/>
      <c r="DU19" s="10"/>
      <c r="DV19" s="10"/>
      <c r="DW19" s="10"/>
      <c r="DX19" s="10"/>
      <c r="DY19" s="10"/>
      <c r="DZ19" s="10"/>
      <c r="EA19" s="10"/>
      <c r="EB19" s="10"/>
      <c r="EC19" s="10"/>
      <c r="ED19" s="10"/>
      <c r="EE19" s="10"/>
      <c r="EF19" s="10"/>
      <c r="EG19" s="10"/>
      <c r="EH19" s="10"/>
      <c r="EI19" s="10"/>
      <c r="EJ19" s="10"/>
      <c r="EK19" s="10"/>
      <c r="EL19" s="10"/>
      <c r="EM19" s="10"/>
      <c r="EN19" s="10"/>
      <c r="EO19" s="10"/>
      <c r="EP19" s="10"/>
      <c r="EQ19" s="10"/>
      <c r="ER19" s="10"/>
      <c r="ES19" s="10"/>
      <c r="ET19" s="10"/>
      <c r="EU19" s="10"/>
      <c r="EV19" s="10"/>
      <c r="EW19" s="10"/>
      <c r="EX19" s="10"/>
      <c r="EY19" s="10"/>
      <c r="EZ19" s="10"/>
      <c r="FA19" s="10"/>
      <c r="FB19" s="10"/>
      <c r="FC19" s="10"/>
      <c r="FD19" s="10"/>
      <c r="FE19" s="10"/>
      <c r="FF19" s="10"/>
      <c r="FG19" s="10"/>
      <c r="FH19" s="10"/>
      <c r="FI19" s="10"/>
      <c r="FJ19" s="10"/>
      <c r="FK19" s="10"/>
      <c r="FL19" s="10"/>
      <c r="FM19" s="10"/>
      <c r="FN19" s="10"/>
      <c r="FO19" s="10"/>
      <c r="FP19" s="10"/>
      <c r="FQ19" s="10"/>
      <c r="FR19" s="10"/>
      <c r="FS19" s="10"/>
      <c r="FT19" s="10"/>
      <c r="FU19" s="10"/>
      <c r="FV19" s="10"/>
      <c r="FW19" s="10"/>
      <c r="FX19" s="10"/>
      <c r="FY19" s="10"/>
      <c r="FZ19" s="10"/>
      <c r="GA19" s="10"/>
      <c r="GB19" s="10"/>
      <c r="GC19" s="10"/>
      <c r="GD19" s="10"/>
      <c r="GE19" s="10"/>
      <c r="GF19" s="10"/>
      <c r="GG19" s="10"/>
      <c r="GH19" s="10"/>
      <c r="GI19" s="10"/>
      <c r="GJ19" s="10"/>
      <c r="GK19" s="10"/>
      <c r="GL19" s="10"/>
      <c r="GM19" s="10"/>
      <c r="GN19" s="10"/>
      <c r="GO19" s="10"/>
      <c r="GP19" s="10"/>
      <c r="GQ19" s="10"/>
      <c r="GR19" s="10"/>
      <c r="GS19" s="10"/>
      <c r="GT19" s="10"/>
      <c r="GU19" s="10"/>
      <c r="GV19" s="10"/>
      <c r="GW19" s="10"/>
      <c r="GX19" s="10"/>
      <c r="GY19" s="10"/>
      <c r="GZ19" s="10"/>
      <c r="HA19" s="10"/>
      <c r="HB19" s="10"/>
      <c r="HC19" s="10"/>
      <c r="HD19" s="10"/>
      <c r="HE19" s="10"/>
      <c r="HF19" s="10"/>
      <c r="HG19" s="10"/>
      <c r="HH19" s="10"/>
      <c r="HI19" s="10"/>
      <c r="HJ19" s="10"/>
      <c r="HK19" s="10"/>
      <c r="HL19" s="10"/>
      <c r="HM19" s="10"/>
      <c r="HN19" s="10"/>
      <c r="HO19" s="10"/>
      <c r="HP19" s="10"/>
      <c r="HQ19" s="10"/>
      <c r="HR19" s="10"/>
      <c r="HS19" s="10"/>
      <c r="HT19" s="10"/>
      <c r="HU19" s="10"/>
      <c r="HV19" s="10"/>
      <c r="HW19" s="10"/>
      <c r="HX19" s="10"/>
      <c r="HY19" s="10"/>
      <c r="HZ19" s="10"/>
    </row>
    <row r="20" spans="1:234" s="243" customFormat="1" ht="19.25" customHeight="1" thickBot="1">
      <c r="A20" s="115" t="s">
        <v>261</v>
      </c>
      <c r="B20" s="248">
        <v>10</v>
      </c>
      <c r="C20" s="130" t="s">
        <v>390</v>
      </c>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c r="DT20" s="10"/>
      <c r="DU20" s="10"/>
      <c r="DV20" s="10"/>
      <c r="DW20" s="10"/>
      <c r="DX20" s="10"/>
      <c r="DY20" s="10"/>
      <c r="DZ20" s="10"/>
      <c r="EA20" s="10"/>
      <c r="EB20" s="10"/>
      <c r="EC20" s="10"/>
      <c r="ED20" s="10"/>
      <c r="EE20" s="10"/>
      <c r="EF20" s="10"/>
      <c r="EG20" s="10"/>
      <c r="EH20" s="10"/>
      <c r="EI20" s="10"/>
      <c r="EJ20" s="10"/>
      <c r="EK20" s="10"/>
      <c r="EL20" s="10"/>
      <c r="EM20" s="10"/>
      <c r="EN20" s="10"/>
      <c r="EO20" s="10"/>
      <c r="EP20" s="10"/>
      <c r="EQ20" s="10"/>
      <c r="ER20" s="10"/>
      <c r="ES20" s="10"/>
      <c r="ET20" s="10"/>
      <c r="EU20" s="10"/>
      <c r="EV20" s="10"/>
      <c r="EW20" s="10"/>
      <c r="EX20" s="10"/>
      <c r="EY20" s="10"/>
      <c r="EZ20" s="10"/>
      <c r="FA20" s="10"/>
      <c r="FB20" s="10"/>
      <c r="FC20" s="10"/>
      <c r="FD20" s="10"/>
      <c r="FE20" s="10"/>
      <c r="FF20" s="10"/>
      <c r="FG20" s="10"/>
      <c r="FH20" s="10"/>
      <c r="FI20" s="10"/>
      <c r="FJ20" s="10"/>
      <c r="FK20" s="10"/>
      <c r="FL20" s="10"/>
      <c r="FM20" s="10"/>
      <c r="FN20" s="10"/>
      <c r="FO20" s="10"/>
      <c r="FP20" s="10"/>
      <c r="FQ20" s="10"/>
      <c r="FR20" s="10"/>
      <c r="FS20" s="10"/>
      <c r="FT20" s="10"/>
      <c r="FU20" s="10"/>
      <c r="FV20" s="10"/>
      <c r="FW20" s="10"/>
      <c r="FX20" s="10"/>
      <c r="FY20" s="10"/>
      <c r="FZ20" s="10"/>
      <c r="GA20" s="10"/>
      <c r="GB20" s="10"/>
      <c r="GC20" s="10"/>
      <c r="GD20" s="10"/>
      <c r="GE20" s="10"/>
      <c r="GF20" s="10"/>
      <c r="GG20" s="10"/>
      <c r="GH20" s="10"/>
      <c r="GI20" s="10"/>
      <c r="GJ20" s="10"/>
      <c r="GK20" s="10"/>
      <c r="GL20" s="10"/>
      <c r="GM20" s="10"/>
      <c r="GN20" s="10"/>
      <c r="GO20" s="10"/>
      <c r="GP20" s="10"/>
      <c r="GQ20" s="10"/>
      <c r="GR20" s="10"/>
      <c r="GS20" s="10"/>
      <c r="GT20" s="10"/>
      <c r="GU20" s="10"/>
      <c r="GV20" s="10"/>
      <c r="GW20" s="10"/>
      <c r="GX20" s="10"/>
      <c r="GY20" s="10"/>
      <c r="GZ20" s="10"/>
      <c r="HA20" s="10"/>
      <c r="HB20" s="10"/>
      <c r="HC20" s="10"/>
      <c r="HD20" s="10"/>
      <c r="HE20" s="10"/>
      <c r="HF20" s="10"/>
      <c r="HG20" s="10"/>
      <c r="HH20" s="10"/>
      <c r="HI20" s="10"/>
      <c r="HJ20" s="10"/>
      <c r="HK20" s="10"/>
      <c r="HL20" s="10"/>
      <c r="HM20" s="10"/>
      <c r="HN20" s="10"/>
      <c r="HO20" s="10"/>
      <c r="HP20" s="10"/>
      <c r="HQ20" s="10"/>
      <c r="HR20" s="10"/>
      <c r="HS20" s="10"/>
      <c r="HT20" s="10"/>
      <c r="HU20" s="10"/>
      <c r="HV20" s="10"/>
      <c r="HW20" s="10"/>
      <c r="HX20" s="10"/>
      <c r="HY20" s="10"/>
      <c r="HZ20" s="10"/>
    </row>
    <row r="21" spans="1:234" ht="41.4" customHeight="1">
      <c r="A21" s="34"/>
    </row>
    <row r="22" spans="1:234" ht="2.4" customHeight="1">
      <c r="A22" s="34"/>
    </row>
    <row r="23" spans="1:234" ht="28.5" customHeight="1">
      <c r="A23" s="340" t="s">
        <v>415</v>
      </c>
      <c r="B23" s="340"/>
      <c r="C23" s="340"/>
      <c r="D23" s="34"/>
      <c r="E23" s="34"/>
      <c r="F23" s="34"/>
    </row>
  </sheetData>
  <mergeCells count="2">
    <mergeCell ref="A1:C1"/>
    <mergeCell ref="A23:C23"/>
  </mergeCells>
  <phoneticPr fontId="19" type="noConversion"/>
  <printOptions horizontalCentered="1"/>
  <pageMargins left="1" right="1" top="1" bottom="1" header="0.5" footer="0.5"/>
  <pageSetup scale="59"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4" r:id="rId4" name="Button 2">
              <controlPr defaultSize="0" print="0" autoFill="0" autoPict="0" macro="[0]!N_HRA2">
                <anchor moveWithCells="1" sizeWithCells="1">
                  <from>
                    <xdr:col>0</xdr:col>
                    <xdr:colOff>3041650</xdr:colOff>
                    <xdr:row>20</xdr:row>
                    <xdr:rowOff>101600</xdr:rowOff>
                  </from>
                  <to>
                    <xdr:col>1</xdr:col>
                    <xdr:colOff>844550</xdr:colOff>
                    <xdr:row>20</xdr:row>
                    <xdr:rowOff>444500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8">
    <tabColor rgb="FF00B0F0"/>
    <pageSetUpPr fitToPage="1"/>
  </sheetPr>
  <dimension ref="A1:J24"/>
  <sheetViews>
    <sheetView showGridLines="0" zoomScale="80" zoomScaleNormal="80" workbookViewId="0">
      <selection activeCell="B21" sqref="B21"/>
    </sheetView>
  </sheetViews>
  <sheetFormatPr defaultColWidth="9.08984375" defaultRowHeight="18"/>
  <cols>
    <col min="1" max="1" width="43.6328125" style="39" customWidth="1"/>
    <col min="2" max="2" width="11.6328125" style="61" customWidth="1"/>
    <col min="3" max="3" width="96.6328125" style="39" customWidth="1"/>
    <col min="4" max="4" width="9.08984375" style="62"/>
    <col min="5" max="16384" width="9.08984375" style="39"/>
  </cols>
  <sheetData>
    <row r="1" spans="1:10" ht="36.75" customHeight="1">
      <c r="A1" s="330" t="s">
        <v>293</v>
      </c>
      <c r="B1" s="331"/>
      <c r="C1" s="332"/>
    </row>
    <row r="2" spans="1:10" s="63" customFormat="1" ht="24.65" customHeight="1">
      <c r="A2" s="110" t="s">
        <v>0</v>
      </c>
      <c r="B2" s="74"/>
      <c r="C2" s="126" t="s">
        <v>1</v>
      </c>
    </row>
    <row r="3" spans="1:10" s="63" customFormat="1" ht="24.65" customHeight="1">
      <c r="A3" s="111" t="s">
        <v>76</v>
      </c>
      <c r="B3" s="99">
        <v>0.2</v>
      </c>
      <c r="C3" s="127" t="s">
        <v>96</v>
      </c>
    </row>
    <row r="4" spans="1:10" s="63" customFormat="1" ht="24.65" customHeight="1">
      <c r="A4" s="112" t="s">
        <v>111</v>
      </c>
      <c r="B4" s="97">
        <v>0.05</v>
      </c>
      <c r="C4" s="127" t="s">
        <v>413</v>
      </c>
    </row>
    <row r="5" spans="1:10" s="63" customFormat="1" ht="24.65" customHeight="1">
      <c r="A5" s="113" t="s">
        <v>36</v>
      </c>
      <c r="B5" s="97">
        <v>2</v>
      </c>
      <c r="C5" s="127"/>
    </row>
    <row r="6" spans="1:10" s="63" customFormat="1" ht="24.65" customHeight="1">
      <c r="A6" s="113" t="s">
        <v>94</v>
      </c>
      <c r="B6" s="98">
        <v>0.8</v>
      </c>
      <c r="C6" s="127" t="s">
        <v>376</v>
      </c>
    </row>
    <row r="7" spans="1:10" s="63" customFormat="1" ht="24.65" customHeight="1">
      <c r="A7" s="114" t="s">
        <v>18</v>
      </c>
      <c r="B7" s="99">
        <v>0.38</v>
      </c>
      <c r="C7" s="127" t="s">
        <v>430</v>
      </c>
      <c r="D7" s="80"/>
    </row>
    <row r="8" spans="1:10" s="63" customFormat="1" ht="24.65" customHeight="1">
      <c r="A8" s="114" t="s">
        <v>50</v>
      </c>
      <c r="B8" s="99">
        <v>0.1</v>
      </c>
      <c r="C8" s="128" t="s">
        <v>431</v>
      </c>
      <c r="D8" s="34"/>
      <c r="E8" s="34"/>
      <c r="F8" s="34"/>
      <c r="G8" s="34"/>
      <c r="H8" s="34"/>
      <c r="I8" s="34"/>
      <c r="J8" s="34"/>
    </row>
    <row r="9" spans="1:10" s="63" customFormat="1" ht="24.65" customHeight="1">
      <c r="A9" s="113" t="s">
        <v>10</v>
      </c>
      <c r="B9" s="99">
        <v>0.5</v>
      </c>
      <c r="C9" s="129" t="s">
        <v>237</v>
      </c>
    </row>
    <row r="10" spans="1:10" s="63" customFormat="1" ht="24.65" customHeight="1">
      <c r="A10" s="114" t="s">
        <v>2</v>
      </c>
      <c r="B10" s="99">
        <v>0.37</v>
      </c>
      <c r="C10" s="127" t="s">
        <v>432</v>
      </c>
    </row>
    <row r="11" spans="1:10" s="63" customFormat="1" ht="24.65" customHeight="1">
      <c r="A11" s="114" t="s">
        <v>51</v>
      </c>
      <c r="B11" s="99">
        <v>0.53</v>
      </c>
      <c r="C11" s="127" t="s">
        <v>433</v>
      </c>
    </row>
    <row r="12" spans="1:10" s="63" customFormat="1" ht="24.65" customHeight="1">
      <c r="A12" s="114" t="s">
        <v>55</v>
      </c>
      <c r="B12" s="99">
        <v>0.87</v>
      </c>
      <c r="C12" s="127" t="s">
        <v>434</v>
      </c>
    </row>
    <row r="13" spans="1:10" s="63" customFormat="1" ht="24.65" customHeight="1">
      <c r="A13" s="113" t="s">
        <v>19</v>
      </c>
      <c r="B13" s="100">
        <v>1</v>
      </c>
      <c r="C13" s="127" t="s">
        <v>241</v>
      </c>
    </row>
    <row r="14" spans="1:10" s="63" customFormat="1" ht="24.65" customHeight="1">
      <c r="A14" s="113" t="s">
        <v>39</v>
      </c>
      <c r="B14" s="101">
        <v>20</v>
      </c>
      <c r="C14" s="129" t="s">
        <v>41</v>
      </c>
    </row>
    <row r="15" spans="1:10" s="63" customFormat="1" ht="24" customHeight="1">
      <c r="A15" s="111" t="s">
        <v>40</v>
      </c>
      <c r="B15" s="101">
        <v>2</v>
      </c>
      <c r="C15" s="129" t="s">
        <v>42</v>
      </c>
    </row>
    <row r="16" spans="1:10" s="10" customFormat="1" ht="24.65" hidden="1" customHeight="1" thickBot="1">
      <c r="A16" s="111" t="s">
        <v>60</v>
      </c>
      <c r="B16" s="109">
        <v>65.674261868071426</v>
      </c>
      <c r="C16" s="127"/>
      <c r="D16" s="77"/>
      <c r="E16" s="77"/>
      <c r="F16" s="77"/>
      <c r="G16" s="77"/>
      <c r="H16" s="77"/>
      <c r="I16" s="77"/>
    </row>
    <row r="17" spans="1:4" s="10" customFormat="1" ht="24.65" hidden="1" customHeight="1" thickBot="1">
      <c r="A17" s="113" t="s">
        <v>86</v>
      </c>
      <c r="B17" s="78">
        <f>IF(B5=2,TINV(B4,B16-B13-2),TINV(B4*2,B16-B13-2))</f>
        <v>1.9989715170333793</v>
      </c>
      <c r="C17" s="127" t="s">
        <v>62</v>
      </c>
      <c r="D17" s="63"/>
    </row>
    <row r="18" spans="1:4" s="10" customFormat="1" ht="24.65" hidden="1" customHeight="1" thickBot="1">
      <c r="A18" s="113" t="s">
        <v>87</v>
      </c>
      <c r="B18" s="78">
        <f>IF(B6&gt;=0.5,TINV((1-B6)*2,B16-B13-2),TINV(B6*2,B16-B13-2))</f>
        <v>0.84745714799778915</v>
      </c>
      <c r="C18" s="127" t="s">
        <v>63</v>
      </c>
      <c r="D18" s="63"/>
    </row>
    <row r="19" spans="1:4" s="63" customFormat="1" ht="24.65" hidden="1" customHeight="1" thickBot="1">
      <c r="A19" s="113" t="s">
        <v>89</v>
      </c>
      <c r="B19" s="78">
        <f>IF(B5&gt;=0.5,(B17+B18),(B17-B18))</f>
        <v>2.8464286650311683</v>
      </c>
      <c r="C19" s="127" t="s">
        <v>109</v>
      </c>
    </row>
    <row r="20" spans="1:4" s="63" customFormat="1" ht="21" customHeight="1">
      <c r="A20" s="113" t="s">
        <v>88</v>
      </c>
      <c r="B20" s="78">
        <f>IF(B5&gt;=0.5,(IF(B5=2,TINV(B4,B21-B13-2),TINV(B4*2,B21-B13-2))+IF(B6&gt;=0.5,TINV((1-B6)*2,B21-B13-2),TINV(B6*2,B21-B13-2))),(IF(B5=2,TINV(B4,B21-B13-2),TINV(B4*2,B21-B13-2))-IF(B6&gt;=0.5,TINV((1-B6)*2,B21-B13-2),TINV(B6*2,B21-B13-2))))</f>
        <v>2.8464286650311683</v>
      </c>
      <c r="C20" s="128" t="s">
        <v>521</v>
      </c>
    </row>
    <row r="21" spans="1:4" s="10" customFormat="1" ht="24.65" customHeight="1" thickBot="1">
      <c r="A21" s="115" t="s">
        <v>28</v>
      </c>
      <c r="B21" s="116">
        <v>65.8</v>
      </c>
      <c r="C21" s="130" t="s">
        <v>398</v>
      </c>
      <c r="D21" s="63"/>
    </row>
    <row r="22" spans="1:4" ht="38.4" customHeight="1">
      <c r="A22" s="34"/>
    </row>
    <row r="23" spans="1:4" ht="4.75" customHeight="1">
      <c r="A23" s="34"/>
    </row>
    <row r="24" spans="1:4" ht="24" customHeight="1">
      <c r="A24" s="340" t="s">
        <v>415</v>
      </c>
      <c r="B24" s="340"/>
      <c r="C24" s="340"/>
    </row>
  </sheetData>
  <mergeCells count="2">
    <mergeCell ref="A1:C1"/>
    <mergeCell ref="A24:C24"/>
  </mergeCells>
  <printOptions horizontalCentered="1"/>
  <pageMargins left="1" right="1" top="1" bottom="1" header="0.5" footer="0.5"/>
  <pageSetup scale="56"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N_HRA3">
                <anchor moveWithCells="1" sizeWithCells="1">
                  <from>
                    <xdr:col>0</xdr:col>
                    <xdr:colOff>2933700</xdr:colOff>
                    <xdr:row>21</xdr:row>
                    <xdr:rowOff>76200</xdr:rowOff>
                  </from>
                  <to>
                    <xdr:col>2</xdr:col>
                    <xdr:colOff>25400</xdr:colOff>
                    <xdr:row>21</xdr:row>
                    <xdr:rowOff>419100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tabColor rgb="FF00B0F0"/>
    <pageSetUpPr fitToPage="1"/>
  </sheetPr>
  <dimension ref="A1:D27"/>
  <sheetViews>
    <sheetView showGridLines="0" zoomScale="80" zoomScaleNormal="80" workbookViewId="0">
      <selection activeCell="F18" sqref="F18"/>
    </sheetView>
  </sheetViews>
  <sheetFormatPr defaultColWidth="9.08984375" defaultRowHeight="18"/>
  <cols>
    <col min="1" max="1" width="47.36328125" style="10" customWidth="1"/>
    <col min="2" max="2" width="11.36328125" style="73" customWidth="1"/>
    <col min="3" max="3" width="94.36328125" style="10" customWidth="1"/>
    <col min="4" max="4" width="9.08984375" style="63"/>
    <col min="5" max="16384" width="9.08984375" style="10"/>
  </cols>
  <sheetData>
    <row r="1" spans="1:4" s="67" customFormat="1" ht="33" customHeight="1">
      <c r="A1" s="330" t="s">
        <v>408</v>
      </c>
      <c r="B1" s="331"/>
      <c r="C1" s="332"/>
      <c r="D1" s="63"/>
    </row>
    <row r="2" spans="1:4" s="67" customFormat="1" ht="22.75" customHeight="1">
      <c r="A2" s="110" t="s">
        <v>0</v>
      </c>
      <c r="B2" s="74"/>
      <c r="C2" s="126" t="s">
        <v>1</v>
      </c>
      <c r="D2" s="63"/>
    </row>
    <row r="3" spans="1:4" s="67" customFormat="1" ht="22.75" customHeight="1">
      <c r="A3" s="111" t="s">
        <v>76</v>
      </c>
      <c r="B3" s="99">
        <v>0.2</v>
      </c>
      <c r="C3" s="127" t="s">
        <v>96</v>
      </c>
      <c r="D3" s="63"/>
    </row>
    <row r="4" spans="1:4" s="67" customFormat="1" ht="22.75" customHeight="1">
      <c r="A4" s="112" t="s">
        <v>111</v>
      </c>
      <c r="B4" s="97">
        <v>0.05</v>
      </c>
      <c r="C4" s="127" t="s">
        <v>413</v>
      </c>
      <c r="D4" s="63"/>
    </row>
    <row r="5" spans="1:4" s="67" customFormat="1" ht="22.75" customHeight="1">
      <c r="A5" s="113" t="s">
        <v>36</v>
      </c>
      <c r="B5" s="97">
        <v>2</v>
      </c>
      <c r="C5" s="127"/>
      <c r="D5" s="63"/>
    </row>
    <row r="6" spans="1:4" s="67" customFormat="1" ht="22.75" customHeight="1">
      <c r="A6" s="113" t="s">
        <v>94</v>
      </c>
      <c r="B6" s="98">
        <v>0.8</v>
      </c>
      <c r="C6" s="127" t="s">
        <v>376</v>
      </c>
      <c r="D6" s="63"/>
    </row>
    <row r="7" spans="1:4" s="67" customFormat="1" ht="22.75" customHeight="1">
      <c r="A7" s="114" t="s">
        <v>22</v>
      </c>
      <c r="B7" s="99">
        <v>0.05</v>
      </c>
      <c r="C7" s="127" t="s">
        <v>504</v>
      </c>
      <c r="D7" s="63"/>
    </row>
    <row r="8" spans="1:4" s="67" customFormat="1" ht="22.75" customHeight="1">
      <c r="A8" s="114" t="s">
        <v>18</v>
      </c>
      <c r="B8" s="99">
        <v>0.05</v>
      </c>
      <c r="C8" s="127" t="s">
        <v>505</v>
      </c>
      <c r="D8" s="63"/>
    </row>
    <row r="9" spans="1:4" s="67" customFormat="1" ht="22.75" customHeight="1">
      <c r="A9" s="114" t="s">
        <v>50</v>
      </c>
      <c r="B9" s="99">
        <v>0.1</v>
      </c>
      <c r="C9" s="127" t="s">
        <v>506</v>
      </c>
      <c r="D9" s="63"/>
    </row>
    <row r="10" spans="1:4" s="67" customFormat="1" ht="22.75" customHeight="1">
      <c r="A10" s="113" t="s">
        <v>10</v>
      </c>
      <c r="B10" s="99">
        <v>0.5</v>
      </c>
      <c r="C10" s="129" t="s">
        <v>295</v>
      </c>
      <c r="D10" s="63"/>
    </row>
    <row r="11" spans="1:4" s="67" customFormat="1" ht="22.75" customHeight="1">
      <c r="A11" s="114" t="s">
        <v>2</v>
      </c>
      <c r="B11" s="99">
        <v>0.5</v>
      </c>
      <c r="C11" s="127" t="s">
        <v>386</v>
      </c>
      <c r="D11" s="63"/>
    </row>
    <row r="12" spans="1:4" s="67" customFormat="1" ht="22.75" customHeight="1">
      <c r="A12" s="114" t="s">
        <v>51</v>
      </c>
      <c r="B12" s="99">
        <v>0.5</v>
      </c>
      <c r="C12" s="127" t="s">
        <v>311</v>
      </c>
      <c r="D12" s="63"/>
    </row>
    <row r="13" spans="1:4" s="67" customFormat="1" ht="22.75" customHeight="1">
      <c r="A13" s="114" t="s">
        <v>55</v>
      </c>
      <c r="B13" s="99">
        <v>0.5</v>
      </c>
      <c r="C13" s="127" t="s">
        <v>507</v>
      </c>
      <c r="D13" s="63"/>
    </row>
    <row r="14" spans="1:4" s="67" customFormat="1" ht="22.75" customHeight="1">
      <c r="A14" s="114" t="s">
        <v>20</v>
      </c>
      <c r="B14" s="99">
        <v>0.5</v>
      </c>
      <c r="C14" s="127" t="s">
        <v>508</v>
      </c>
      <c r="D14" s="63"/>
    </row>
    <row r="15" spans="1:4" s="67" customFormat="1" ht="22.75" customHeight="1">
      <c r="A15" s="113" t="s">
        <v>21</v>
      </c>
      <c r="B15" s="100">
        <v>1</v>
      </c>
      <c r="C15" s="127" t="s">
        <v>296</v>
      </c>
      <c r="D15" s="63"/>
    </row>
    <row r="16" spans="1:4" ht="22.75" customHeight="1">
      <c r="A16" s="113" t="s">
        <v>39</v>
      </c>
      <c r="B16" s="101">
        <v>5</v>
      </c>
      <c r="C16" s="129" t="s">
        <v>41</v>
      </c>
    </row>
    <row r="17" spans="1:4" ht="22.75" customHeight="1">
      <c r="A17" s="111" t="s">
        <v>40</v>
      </c>
      <c r="B17" s="101">
        <v>2</v>
      </c>
      <c r="C17" s="129" t="s">
        <v>42</v>
      </c>
    </row>
    <row r="18" spans="1:4" ht="22.75" customHeight="1">
      <c r="A18" s="111" t="s">
        <v>44</v>
      </c>
      <c r="B18" s="101">
        <v>3</v>
      </c>
      <c r="C18" s="129" t="s">
        <v>43</v>
      </c>
    </row>
    <row r="19" spans="1:4" ht="21.65" hidden="1" customHeight="1">
      <c r="A19" s="111" t="s">
        <v>60</v>
      </c>
      <c r="B19" s="102">
        <v>45.216188097444444</v>
      </c>
      <c r="C19" s="127"/>
    </row>
    <row r="20" spans="1:4" s="67" customFormat="1" ht="20" hidden="1" customHeight="1">
      <c r="A20" s="113" t="s">
        <v>86</v>
      </c>
      <c r="B20" s="78">
        <f>IF(B5=2,TINV(B4,B19-B15-2),TINV(B4*2,B19-B15-2))</f>
        <v>2.0180817028184461</v>
      </c>
      <c r="C20" s="127" t="s">
        <v>62</v>
      </c>
      <c r="D20" s="63"/>
    </row>
    <row r="21" spans="1:4" s="67" customFormat="1" ht="21" hidden="1">
      <c r="A21" s="113" t="s">
        <v>87</v>
      </c>
      <c r="B21" s="78">
        <f>IF(B6&gt;=0.5,TINV((1-B6)*2,B19-B15-2),TINV(B6*2,B19-B15-2))</f>
        <v>0.85026327554806369</v>
      </c>
      <c r="C21" s="127" t="s">
        <v>63</v>
      </c>
      <c r="D21" s="63"/>
    </row>
    <row r="22" spans="1:4" s="67" customFormat="1" ht="18" hidden="1" customHeight="1">
      <c r="A22" s="113" t="s">
        <v>89</v>
      </c>
      <c r="B22" s="78">
        <f>IF(B6&gt;=0.5,(B20+B21),(B20-B21))</f>
        <v>2.86834497836651</v>
      </c>
      <c r="C22" s="127" t="s">
        <v>109</v>
      </c>
      <c r="D22" s="63"/>
    </row>
    <row r="23" spans="1:4" s="67" customFormat="1" ht="22.75" customHeight="1">
      <c r="A23" s="113" t="s">
        <v>88</v>
      </c>
      <c r="B23" s="78">
        <f>IF(B6&gt;=0.5,(IF(B5=2,TINV(B4,B24-B15-2),TINV(B4*2,B24-B15-2))+IF(B6&gt;=0.5,TINV((1-B6)*2,B24-B15-2),TINV(B6*2,B24-B15-2))),(IF(B5=2,TINV(B4,B24-B15-2),TINV(B4*2,B24-B15-2))-IF(B6&gt;=0.5,TINV((1-B6)*2,B24-B15-2),TINV(B6*2,B24-B15-2))))</f>
        <v>2.86834497836651</v>
      </c>
      <c r="C23" s="128" t="s">
        <v>521</v>
      </c>
      <c r="D23" s="63"/>
    </row>
    <row r="24" spans="1:4" ht="22.75" customHeight="1" thickBot="1">
      <c r="A24" s="115" t="s">
        <v>112</v>
      </c>
      <c r="B24" s="116">
        <v>45.300000000000004</v>
      </c>
      <c r="C24" s="130" t="s">
        <v>397</v>
      </c>
    </row>
    <row r="25" spans="1:4" ht="44.4" customHeight="1">
      <c r="A25" s="34"/>
    </row>
    <row r="26" spans="1:4" ht="5.4" customHeight="1">
      <c r="A26" s="34"/>
    </row>
    <row r="27" spans="1:4">
      <c r="A27" s="340" t="s">
        <v>415</v>
      </c>
      <c r="B27" s="340"/>
      <c r="C27" s="340"/>
    </row>
  </sheetData>
  <mergeCells count="2">
    <mergeCell ref="A1:C1"/>
    <mergeCell ref="A27:C27"/>
  </mergeCells>
  <phoneticPr fontId="9" type="noConversion"/>
  <printOptions horizontalCentered="1"/>
  <pageMargins left="1" right="1" top="1" bottom="1" header="0.5" footer="0.5"/>
  <pageSetup scale="56"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9" r:id="rId4" name="Button 3">
              <controlPr defaultSize="0" print="0" autoFill="0" autoPict="0" macro="[0]!N_HRA4">
                <anchor moveWithCells="1" sizeWithCells="1">
                  <from>
                    <xdr:col>0</xdr:col>
                    <xdr:colOff>3200400</xdr:colOff>
                    <xdr:row>24</xdr:row>
                    <xdr:rowOff>101600</xdr:rowOff>
                  </from>
                  <to>
                    <xdr:col>2</xdr:col>
                    <xdr:colOff>50800</xdr:colOff>
                    <xdr:row>24</xdr:row>
                    <xdr:rowOff>444500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6">
    <tabColor theme="7" tint="0.39997558519241921"/>
    <pageSetUpPr fitToPage="1"/>
  </sheetPr>
  <dimension ref="A1:C24"/>
  <sheetViews>
    <sheetView showGridLines="0" zoomScale="80" zoomScaleNormal="80" workbookViewId="0">
      <selection activeCell="B19" sqref="B19"/>
    </sheetView>
  </sheetViews>
  <sheetFormatPr defaultColWidth="9.08984375" defaultRowHeight="18"/>
  <cols>
    <col min="1" max="1" width="39.90625" style="10" customWidth="1"/>
    <col min="2" max="2" width="12.90625" style="73" customWidth="1"/>
    <col min="3" max="3" width="92.90625" style="10" customWidth="1"/>
    <col min="4" max="16384" width="9.08984375" style="10"/>
  </cols>
  <sheetData>
    <row r="1" spans="1:3" ht="56.25" customHeight="1">
      <c r="A1" s="333" t="s">
        <v>378</v>
      </c>
      <c r="B1" s="334"/>
      <c r="C1" s="335"/>
    </row>
    <row r="2" spans="1:3" ht="28.75" customHeight="1">
      <c r="A2" s="110" t="s">
        <v>0</v>
      </c>
      <c r="B2" s="74"/>
      <c r="C2" s="126" t="s">
        <v>1</v>
      </c>
    </row>
    <row r="3" spans="1:3" ht="28.75" customHeight="1">
      <c r="A3" s="111" t="s">
        <v>76</v>
      </c>
      <c r="B3" s="96">
        <v>0.15</v>
      </c>
      <c r="C3" s="127" t="s">
        <v>96</v>
      </c>
    </row>
    <row r="4" spans="1:3" ht="28.75" customHeight="1">
      <c r="A4" s="112" t="s">
        <v>111</v>
      </c>
      <c r="B4" s="97">
        <v>0.05</v>
      </c>
      <c r="C4" s="127" t="s">
        <v>414</v>
      </c>
    </row>
    <row r="5" spans="1:3" ht="28.75" customHeight="1">
      <c r="A5" s="113" t="s">
        <v>36</v>
      </c>
      <c r="B5" s="97">
        <v>2</v>
      </c>
      <c r="C5" s="237"/>
    </row>
    <row r="6" spans="1:3" ht="28.75" customHeight="1">
      <c r="A6" s="113" t="s">
        <v>94</v>
      </c>
      <c r="B6" s="98">
        <v>0.8</v>
      </c>
      <c r="C6" s="127" t="s">
        <v>379</v>
      </c>
    </row>
    <row r="7" spans="1:3" ht="28.75" customHeight="1">
      <c r="A7" s="114" t="s">
        <v>50</v>
      </c>
      <c r="B7" s="99">
        <v>0.3</v>
      </c>
      <c r="C7" s="127" t="s">
        <v>425</v>
      </c>
    </row>
    <row r="8" spans="1:3" s="67" customFormat="1" ht="28.75" customHeight="1">
      <c r="A8" s="113" t="s">
        <v>10</v>
      </c>
      <c r="B8" s="99">
        <v>0.5</v>
      </c>
      <c r="C8" s="129" t="s">
        <v>297</v>
      </c>
    </row>
    <row r="9" spans="1:3" ht="28.75" customHeight="1">
      <c r="A9" s="114" t="s">
        <v>2</v>
      </c>
      <c r="B9" s="99">
        <v>0.5</v>
      </c>
      <c r="C9" s="127" t="s">
        <v>423</v>
      </c>
    </row>
    <row r="10" spans="1:3" ht="28.75" customHeight="1">
      <c r="A10" s="114" t="s">
        <v>51</v>
      </c>
      <c r="B10" s="99">
        <v>0.5</v>
      </c>
      <c r="C10" s="127" t="s">
        <v>424</v>
      </c>
    </row>
    <row r="11" spans="1:3" s="67" customFormat="1" ht="28.75" customHeight="1">
      <c r="A11" s="113" t="s">
        <v>52</v>
      </c>
      <c r="B11" s="100">
        <v>1</v>
      </c>
      <c r="C11" s="127" t="s">
        <v>245</v>
      </c>
    </row>
    <row r="12" spans="1:3" s="67" customFormat="1" ht="28.75" customHeight="1">
      <c r="A12" s="113" t="s">
        <v>39</v>
      </c>
      <c r="B12" s="101">
        <v>20</v>
      </c>
      <c r="C12" s="127" t="s">
        <v>41</v>
      </c>
    </row>
    <row r="13" spans="1:3" ht="28.75" customHeight="1">
      <c r="A13" s="111" t="s">
        <v>40</v>
      </c>
      <c r="B13" s="101">
        <v>40</v>
      </c>
      <c r="C13" s="127" t="s">
        <v>42</v>
      </c>
    </row>
    <row r="14" spans="1:3" ht="28.75" hidden="1" customHeight="1">
      <c r="A14" s="111" t="s">
        <v>118</v>
      </c>
      <c r="B14" s="102">
        <v>5.9205601489631903</v>
      </c>
      <c r="C14" s="127" t="s">
        <v>29</v>
      </c>
    </row>
    <row r="15" spans="1:3" ht="28.75" hidden="1" customHeight="1">
      <c r="A15" s="113" t="s">
        <v>86</v>
      </c>
      <c r="B15" s="78">
        <f>IF(B5=2,TINV(B4,B14*(B13-2)-B11),TINV(B4*2,B14*(B13-2)-B11))</f>
        <v>1.9706589608358136</v>
      </c>
      <c r="C15" s="127" t="s">
        <v>62</v>
      </c>
    </row>
    <row r="16" spans="1:3" ht="28.75" hidden="1" customHeight="1">
      <c r="A16" s="113" t="s">
        <v>87</v>
      </c>
      <c r="B16" s="78">
        <f>IF(B6&gt;=0.5,TINV((1-B6)*2,B14*(B13-2)-B11),TINV(B6*2,B14*(B13-2)-B11))</f>
        <v>0.84323604688364429</v>
      </c>
      <c r="C16" s="127" t="s">
        <v>63</v>
      </c>
    </row>
    <row r="17" spans="1:3" ht="28.75" hidden="1" customHeight="1">
      <c r="A17" s="113" t="s">
        <v>89</v>
      </c>
      <c r="B17" s="78">
        <f>IF(B6&gt;=0.5,(B15+B16),(B15-B16))</f>
        <v>2.813895007719458</v>
      </c>
      <c r="C17" s="127" t="s">
        <v>109</v>
      </c>
    </row>
    <row r="18" spans="1:3" ht="24.65" customHeight="1">
      <c r="A18" s="113" t="s">
        <v>88</v>
      </c>
      <c r="B18" s="78">
        <f>IF(B6&gt;=0.5,(IF(B5=2,TINV(B4,B19*(B13-2)-B11),TINV(B4*2,B19*(B13-2)-B11))+IF(B6&gt;=0.5,TINV((1-B6)*2,B19*(B13-2)-B11),TINV(B6*2,B19*(B13-2)-B11))),(IF(B5=2,TINV(B4,B19*(B13-2)-B11),TINV(B4*2,B19*(B13-2)-B11))-IF(B6&gt;=0.5,TINV((1-B6)*2,B19*(B13-2)-B11),TINV(B6*2,B19*(B13-2)-B11))))</f>
        <v>2.813895007719458</v>
      </c>
      <c r="C18" s="127" t="s">
        <v>521</v>
      </c>
    </row>
    <row r="19" spans="1:3" ht="28.75" customHeight="1" thickBot="1">
      <c r="A19" s="115" t="s">
        <v>119</v>
      </c>
      <c r="B19" s="116">
        <v>5.8999999999999995</v>
      </c>
      <c r="C19" s="232" t="s">
        <v>393</v>
      </c>
    </row>
    <row r="20" spans="1:3" ht="1.5" customHeight="1"/>
    <row r="21" spans="1:3" ht="40.75" customHeight="1">
      <c r="A21" s="34"/>
    </row>
    <row r="22" spans="1:3" ht="3" customHeight="1">
      <c r="A22" s="34"/>
    </row>
    <row r="23" spans="1:3" ht="22.25" customHeight="1">
      <c r="A23" s="340" t="s">
        <v>415</v>
      </c>
      <c r="B23" s="340"/>
      <c r="C23" s="340"/>
    </row>
    <row r="24" spans="1:3" ht="32.25" customHeight="1">
      <c r="A24" s="95"/>
      <c r="B24" s="95"/>
      <c r="C24" s="95"/>
    </row>
  </sheetData>
  <mergeCells count="2">
    <mergeCell ref="A1:C1"/>
    <mergeCell ref="A23:C23"/>
  </mergeCells>
  <phoneticPr fontId="9" type="noConversion"/>
  <printOptions horizontalCentered="1"/>
  <pageMargins left="1" right="1" top="1" bottom="1" header="0.5" footer="0.5"/>
  <pageSetup scale="61"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1619" r:id="rId4" name="Button 3">
              <controlPr defaultSize="0" print="0" autoFill="0" autoPict="0" macro="[0]!N_BRA3_2f">
                <anchor moveWithCells="1" sizeWithCells="1">
                  <from>
                    <xdr:col>0</xdr:col>
                    <xdr:colOff>2730500</xdr:colOff>
                    <xdr:row>20</xdr:row>
                    <xdr:rowOff>44450</xdr:rowOff>
                  </from>
                  <to>
                    <xdr:col>1</xdr:col>
                    <xdr:colOff>869950</xdr:colOff>
                    <xdr:row>20</xdr:row>
                    <xdr:rowOff>387350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7">
    <tabColor theme="7" tint="0.39997558519241921"/>
    <pageSetUpPr fitToPage="1"/>
  </sheetPr>
  <dimension ref="A1:C26"/>
  <sheetViews>
    <sheetView showGridLines="0" zoomScale="80" zoomScaleNormal="80" workbookViewId="0">
      <selection activeCell="B22" sqref="B22"/>
    </sheetView>
  </sheetViews>
  <sheetFormatPr defaultColWidth="9.08984375" defaultRowHeight="18"/>
  <cols>
    <col min="1" max="1" width="43.453125" style="39" customWidth="1"/>
    <col min="2" max="2" width="12.54296875" style="61" customWidth="1"/>
    <col min="3" max="3" width="99" style="39" customWidth="1"/>
    <col min="4" max="16384" width="9.08984375" style="39"/>
  </cols>
  <sheetData>
    <row r="1" spans="1:3" s="10" customFormat="1" ht="46.5" customHeight="1">
      <c r="A1" s="330" t="s">
        <v>380</v>
      </c>
      <c r="B1" s="331"/>
      <c r="C1" s="332"/>
    </row>
    <row r="2" spans="1:3" ht="23.4" customHeight="1">
      <c r="A2" s="117" t="s">
        <v>0</v>
      </c>
      <c r="B2" s="40"/>
      <c r="C2" s="261" t="s">
        <v>1</v>
      </c>
    </row>
    <row r="3" spans="1:3" ht="23.4" customHeight="1">
      <c r="A3" s="118" t="s">
        <v>76</v>
      </c>
      <c r="B3" s="103">
        <v>0.2</v>
      </c>
      <c r="C3" s="184" t="s">
        <v>96</v>
      </c>
    </row>
    <row r="4" spans="1:3" ht="23.4" customHeight="1">
      <c r="A4" s="119" t="s">
        <v>111</v>
      </c>
      <c r="B4" s="104">
        <v>0.05</v>
      </c>
      <c r="C4" s="184" t="s">
        <v>413</v>
      </c>
    </row>
    <row r="5" spans="1:3" ht="23.4" customHeight="1">
      <c r="A5" s="120" t="s">
        <v>36</v>
      </c>
      <c r="B5" s="104">
        <v>2</v>
      </c>
      <c r="C5" s="121"/>
    </row>
    <row r="6" spans="1:3" ht="23.4" customHeight="1">
      <c r="A6" s="120" t="s">
        <v>94</v>
      </c>
      <c r="B6" s="105">
        <v>0.8</v>
      </c>
      <c r="C6" s="184" t="s">
        <v>379</v>
      </c>
    </row>
    <row r="7" spans="1:3" ht="23.4" customHeight="1">
      <c r="A7" s="122" t="s">
        <v>18</v>
      </c>
      <c r="B7" s="103">
        <v>0.38</v>
      </c>
      <c r="C7" s="184" t="s">
        <v>426</v>
      </c>
    </row>
    <row r="8" spans="1:3" ht="23.4" customHeight="1">
      <c r="A8" s="122" t="s">
        <v>50</v>
      </c>
      <c r="B8" s="103">
        <v>0.1</v>
      </c>
      <c r="C8" s="184" t="s">
        <v>427</v>
      </c>
    </row>
    <row r="9" spans="1:3" ht="37.75" customHeight="1">
      <c r="A9" s="123"/>
      <c r="B9" s="103">
        <v>0.5</v>
      </c>
      <c r="C9" s="184" t="s">
        <v>381</v>
      </c>
    </row>
    <row r="10" spans="1:3" s="64" customFormat="1" ht="23.4" customHeight="1">
      <c r="A10" s="120" t="s">
        <v>10</v>
      </c>
      <c r="B10" s="103">
        <v>0.5</v>
      </c>
      <c r="C10" s="185" t="s">
        <v>248</v>
      </c>
    </row>
    <row r="11" spans="1:3" ht="23.4" customHeight="1">
      <c r="A11" s="114" t="s">
        <v>2</v>
      </c>
      <c r="B11" s="103">
        <v>0.37</v>
      </c>
      <c r="C11" s="184" t="s">
        <v>386</v>
      </c>
    </row>
    <row r="12" spans="1:3" ht="23.4" customHeight="1">
      <c r="A12" s="114" t="s">
        <v>51</v>
      </c>
      <c r="B12" s="103">
        <v>0.53</v>
      </c>
      <c r="C12" s="184" t="s">
        <v>428</v>
      </c>
    </row>
    <row r="13" spans="1:3" ht="23.4" customHeight="1">
      <c r="A13" s="114" t="s">
        <v>116</v>
      </c>
      <c r="B13" s="103">
        <v>0</v>
      </c>
      <c r="C13" s="184" t="s">
        <v>429</v>
      </c>
    </row>
    <row r="14" spans="1:3" ht="23.4" customHeight="1">
      <c r="A14" s="120" t="s">
        <v>19</v>
      </c>
      <c r="B14" s="106">
        <v>0</v>
      </c>
      <c r="C14" s="184" t="s">
        <v>241</v>
      </c>
    </row>
    <row r="15" spans="1:3" ht="23.4" customHeight="1">
      <c r="A15" s="120" t="s">
        <v>39</v>
      </c>
      <c r="B15" s="107">
        <v>20</v>
      </c>
      <c r="C15" s="129" t="s">
        <v>41</v>
      </c>
    </row>
    <row r="16" spans="1:3" ht="23.4" customHeight="1">
      <c r="A16" s="118" t="s">
        <v>40</v>
      </c>
      <c r="B16" s="107">
        <v>2</v>
      </c>
      <c r="C16" s="129" t="s">
        <v>42</v>
      </c>
    </row>
    <row r="17" spans="1:3" ht="23.4" hidden="1" customHeight="1">
      <c r="A17" s="118" t="s">
        <v>118</v>
      </c>
      <c r="B17" s="108">
        <v>64.078747981746517</v>
      </c>
      <c r="C17" s="184" t="s">
        <v>29</v>
      </c>
    </row>
    <row r="18" spans="1:3" ht="23.4" hidden="1" customHeight="1">
      <c r="A18" s="120" t="s">
        <v>86</v>
      </c>
      <c r="B18" s="72">
        <f>IF(B5=2,TINV(B4,B17-B14-1),TINV(B4*2,B17-B14-1))</f>
        <v>1.9983405425207412</v>
      </c>
      <c r="C18" s="184" t="s">
        <v>62</v>
      </c>
    </row>
    <row r="19" spans="1:3" ht="23.4" hidden="1" customHeight="1">
      <c r="A19" s="120" t="s">
        <v>87</v>
      </c>
      <c r="B19" s="72">
        <f>IF(B6&gt;=0.5,TINV((1-B6)*2,B17-B14-1),TINV(B6*2,B17-B14-1))</f>
        <v>0.84736391227564545</v>
      </c>
      <c r="C19" s="184" t="s">
        <v>63</v>
      </c>
    </row>
    <row r="20" spans="1:3" ht="23.4" hidden="1" customHeight="1">
      <c r="A20" s="120" t="s">
        <v>89</v>
      </c>
      <c r="B20" s="72">
        <f>IF(B6&gt;=0.5,(B18+B19),(B18-B19))</f>
        <v>2.8457044547963868</v>
      </c>
      <c r="C20" s="184" t="s">
        <v>109</v>
      </c>
    </row>
    <row r="21" spans="1:3" ht="23.4" customHeight="1">
      <c r="A21" s="120" t="s">
        <v>88</v>
      </c>
      <c r="B21" s="72">
        <f>IF(B6&gt;=0.5,(IF(B5=2,TINV(B4,B22-B14-1),TINV(B4*2,B22-B14-1))+IF(B6&gt;=0.5,TINV((1-B6)*2,B22-B14-1),TINV(B6*2,B22-B14-1))),(IF(B5=2,TINV(B4,B22-B14-1),TINV(B4*2,B22-B14-1))-IF(B6&gt;=0.5,TINV((1-B6)*2,B22-B14-1),TINV(B6*2,B22-B14-1))))</f>
        <v>2.8457044547963868</v>
      </c>
      <c r="C21" s="184" t="s">
        <v>521</v>
      </c>
    </row>
    <row r="22" spans="1:3" ht="23.4" customHeight="1" thickBot="1">
      <c r="A22" s="124" t="s">
        <v>119</v>
      </c>
      <c r="B22" s="125">
        <v>64.199999999999989</v>
      </c>
      <c r="C22" s="262" t="s">
        <v>396</v>
      </c>
    </row>
    <row r="23" spans="1:3" ht="3" customHeight="1"/>
    <row r="24" spans="1:3" ht="40.75" customHeight="1">
      <c r="A24" s="34"/>
    </row>
    <row r="25" spans="1:3" ht="4.75" customHeight="1">
      <c r="A25" s="34"/>
    </row>
    <row r="26" spans="1:3">
      <c r="A26" s="340" t="s">
        <v>415</v>
      </c>
      <c r="B26" s="340"/>
      <c r="C26" s="340"/>
    </row>
  </sheetData>
  <mergeCells count="2">
    <mergeCell ref="A1:C1"/>
    <mergeCell ref="A26:C26"/>
  </mergeCells>
  <phoneticPr fontId="9" type="noConversion"/>
  <printOptions horizontalCentered="1"/>
  <pageMargins left="1" right="1" top="1" bottom="1" header="0.5" footer="0.5"/>
  <pageSetup scale="50"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12641" r:id="rId4">
          <objectPr defaultSize="0" autoPict="0" r:id="rId5">
            <anchor moveWithCells="1">
              <from>
                <xdr:col>0</xdr:col>
                <xdr:colOff>63500</xdr:colOff>
                <xdr:row>8</xdr:row>
                <xdr:rowOff>76200</xdr:rowOff>
              </from>
              <to>
                <xdr:col>0</xdr:col>
                <xdr:colOff>488950</xdr:colOff>
                <xdr:row>8</xdr:row>
                <xdr:rowOff>368300</xdr:rowOff>
              </to>
            </anchor>
          </objectPr>
        </oleObject>
      </mc:Choice>
      <mc:Fallback>
        <oleObject progId="Equation.3" shapeId="112641" r:id="rId4"/>
      </mc:Fallback>
    </mc:AlternateContent>
    <mc:AlternateContent xmlns:mc="http://schemas.openxmlformats.org/markup-compatibility/2006">
      <mc:Choice Requires="x14">
        <oleObject progId="Equation.3" shapeId="112645" r:id="rId6">
          <objectPr defaultSize="0" autoPict="0" r:id="rId7">
            <anchor moveWithCells="1" sizeWithCells="1">
              <from>
                <xdr:col>2</xdr:col>
                <xdr:colOff>3244850</xdr:colOff>
                <xdr:row>8</xdr:row>
                <xdr:rowOff>241300</xdr:rowOff>
              </from>
              <to>
                <xdr:col>2</xdr:col>
                <xdr:colOff>3797300</xdr:colOff>
                <xdr:row>8</xdr:row>
                <xdr:rowOff>457200</xdr:rowOff>
              </to>
            </anchor>
          </objectPr>
        </oleObject>
      </mc:Choice>
      <mc:Fallback>
        <oleObject progId="Equation.3" shapeId="112645" r:id="rId6"/>
      </mc:Fallback>
    </mc:AlternateContent>
  </oleObjects>
  <mc:AlternateContent xmlns:mc="http://schemas.openxmlformats.org/markup-compatibility/2006">
    <mc:Choice Requires="x14">
      <controls>
        <mc:AlternateContent xmlns:mc="http://schemas.openxmlformats.org/markup-compatibility/2006">
          <mc:Choice Requires="x14">
            <control shapeId="112653" r:id="rId8" name="Button 13">
              <controlPr defaultSize="0" print="0" autoFill="0" autoPict="0" macro="[0]!N_BRA3_2r">
                <anchor moveWithCells="1" sizeWithCells="1">
                  <from>
                    <xdr:col>0</xdr:col>
                    <xdr:colOff>2971800</xdr:colOff>
                    <xdr:row>23</xdr:row>
                    <xdr:rowOff>25400</xdr:rowOff>
                  </from>
                  <to>
                    <xdr:col>2</xdr:col>
                    <xdr:colOff>6350</xdr:colOff>
                    <xdr:row>23</xdr:row>
                    <xdr:rowOff>368300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9">
    <tabColor theme="7" tint="0.39997558519241921"/>
    <pageSetUpPr fitToPage="1"/>
  </sheetPr>
  <dimension ref="A1:C29"/>
  <sheetViews>
    <sheetView showGridLines="0" zoomScale="70" zoomScaleNormal="70" workbookViewId="0">
      <selection activeCell="B26" sqref="B26"/>
    </sheetView>
  </sheetViews>
  <sheetFormatPr defaultColWidth="9.08984375" defaultRowHeight="18"/>
  <cols>
    <col min="1" max="1" width="42.36328125" style="10" customWidth="1"/>
    <col min="2" max="2" width="12.6328125" style="73" customWidth="1"/>
    <col min="3" max="3" width="109.453125" style="10" customWidth="1"/>
    <col min="4" max="16384" width="9.08984375" style="10"/>
  </cols>
  <sheetData>
    <row r="1" spans="1:3" ht="32.4" customHeight="1">
      <c r="A1" s="330" t="s">
        <v>382</v>
      </c>
      <c r="B1" s="331"/>
      <c r="C1" s="332"/>
    </row>
    <row r="2" spans="1:3" ht="23.4" customHeight="1">
      <c r="A2" s="110" t="s">
        <v>0</v>
      </c>
      <c r="B2" s="74"/>
      <c r="C2" s="126" t="s">
        <v>1</v>
      </c>
    </row>
    <row r="3" spans="1:3" ht="23.4" customHeight="1">
      <c r="A3" s="111" t="s">
        <v>76</v>
      </c>
      <c r="B3" s="99">
        <v>0.2</v>
      </c>
      <c r="C3" s="127" t="s">
        <v>96</v>
      </c>
    </row>
    <row r="4" spans="1:3" ht="23.4" customHeight="1">
      <c r="A4" s="112" t="s">
        <v>111</v>
      </c>
      <c r="B4" s="97">
        <v>0.05</v>
      </c>
      <c r="C4" s="127" t="s">
        <v>414</v>
      </c>
    </row>
    <row r="5" spans="1:3" ht="23.4" customHeight="1">
      <c r="A5" s="113" t="s">
        <v>36</v>
      </c>
      <c r="B5" s="97">
        <v>2</v>
      </c>
      <c r="C5" s="237"/>
    </row>
    <row r="6" spans="1:3" ht="23.4" customHeight="1">
      <c r="A6" s="113" t="s">
        <v>94</v>
      </c>
      <c r="B6" s="98">
        <v>0.8</v>
      </c>
      <c r="C6" s="127" t="s">
        <v>376</v>
      </c>
    </row>
    <row r="7" spans="1:3" s="67" customFormat="1" ht="23.4" customHeight="1">
      <c r="A7" s="114" t="s">
        <v>22</v>
      </c>
      <c r="B7" s="99">
        <v>0.05</v>
      </c>
      <c r="C7" s="127" t="s">
        <v>513</v>
      </c>
    </row>
    <row r="8" spans="1:3" s="67" customFormat="1" ht="23.4" customHeight="1">
      <c r="A8" s="114" t="s">
        <v>18</v>
      </c>
      <c r="B8" s="99">
        <v>0.15</v>
      </c>
      <c r="C8" s="127" t="s">
        <v>512</v>
      </c>
    </row>
    <row r="9" spans="1:3" s="67" customFormat="1" ht="23.4" customHeight="1">
      <c r="A9" s="114" t="s">
        <v>50</v>
      </c>
      <c r="B9" s="99">
        <v>0.15</v>
      </c>
      <c r="C9" s="127" t="s">
        <v>506</v>
      </c>
    </row>
    <row r="10" spans="1:3" s="67" customFormat="1" ht="36">
      <c r="A10" s="114"/>
      <c r="B10" s="99">
        <v>0.5</v>
      </c>
      <c r="C10" s="127" t="s">
        <v>383</v>
      </c>
    </row>
    <row r="11" spans="1:3" s="67" customFormat="1" ht="36">
      <c r="A11" s="114"/>
      <c r="B11" s="99">
        <v>0.5</v>
      </c>
      <c r="C11" s="127" t="s">
        <v>514</v>
      </c>
    </row>
    <row r="12" spans="1:3" s="67" customFormat="1" ht="23.4" customHeight="1">
      <c r="A12" s="113" t="s">
        <v>10</v>
      </c>
      <c r="B12" s="99">
        <v>0.5</v>
      </c>
      <c r="C12" s="129" t="s">
        <v>254</v>
      </c>
    </row>
    <row r="13" spans="1:3" s="67" customFormat="1" ht="23.4" customHeight="1">
      <c r="A13" s="114" t="s">
        <v>2</v>
      </c>
      <c r="B13" s="99">
        <v>0.5</v>
      </c>
      <c r="C13" s="127" t="s">
        <v>423</v>
      </c>
    </row>
    <row r="14" spans="1:3" s="67" customFormat="1" ht="23.4" customHeight="1">
      <c r="A14" s="114" t="s">
        <v>51</v>
      </c>
      <c r="B14" s="99">
        <v>0.5</v>
      </c>
      <c r="C14" s="127" t="s">
        <v>511</v>
      </c>
    </row>
    <row r="15" spans="1:3" s="67" customFormat="1" ht="23.4" customHeight="1">
      <c r="A15" s="114" t="s">
        <v>116</v>
      </c>
      <c r="B15" s="99">
        <v>0.5</v>
      </c>
      <c r="C15" s="127" t="s">
        <v>509</v>
      </c>
    </row>
    <row r="16" spans="1:3" s="67" customFormat="1" ht="23.4" customHeight="1">
      <c r="A16" s="114" t="s">
        <v>117</v>
      </c>
      <c r="B16" s="99">
        <v>0</v>
      </c>
      <c r="C16" s="127" t="s">
        <v>510</v>
      </c>
    </row>
    <row r="17" spans="1:3" s="67" customFormat="1" ht="23.4" customHeight="1">
      <c r="A17" s="113" t="s">
        <v>21</v>
      </c>
      <c r="B17" s="100">
        <v>1</v>
      </c>
      <c r="C17" s="127" t="s">
        <v>298</v>
      </c>
    </row>
    <row r="18" spans="1:3" ht="23.4" customHeight="1">
      <c r="A18" s="113" t="s">
        <v>39</v>
      </c>
      <c r="B18" s="101">
        <v>10</v>
      </c>
      <c r="C18" s="129" t="s">
        <v>41</v>
      </c>
    </row>
    <row r="19" spans="1:3" ht="23.4" customHeight="1">
      <c r="A19" s="111" t="s">
        <v>40</v>
      </c>
      <c r="B19" s="101">
        <v>4</v>
      </c>
      <c r="C19" s="129" t="s">
        <v>42</v>
      </c>
    </row>
    <row r="20" spans="1:3" ht="23.4" customHeight="1">
      <c r="A20" s="111" t="s">
        <v>44</v>
      </c>
      <c r="B20" s="101">
        <v>10</v>
      </c>
      <c r="C20" s="129" t="s">
        <v>43</v>
      </c>
    </row>
    <row r="21" spans="1:3" ht="23.4" hidden="1" customHeight="1">
      <c r="A21" s="111" t="s">
        <v>120</v>
      </c>
      <c r="B21" s="102">
        <v>10.122757461932611</v>
      </c>
      <c r="C21" s="127" t="s">
        <v>33</v>
      </c>
    </row>
    <row r="22" spans="1:3" ht="23.4" hidden="1" customHeight="1">
      <c r="A22" s="113" t="s">
        <v>86</v>
      </c>
      <c r="B22" s="78">
        <f>IF(B5=2,TINV(B4,B21-B17-1),TINV(B4*2,B21-B17-1))</f>
        <v>2.3060041352041671</v>
      </c>
      <c r="C22" s="127" t="s">
        <v>62</v>
      </c>
    </row>
    <row r="23" spans="1:3" ht="23.4" hidden="1" customHeight="1">
      <c r="A23" s="113" t="s">
        <v>87</v>
      </c>
      <c r="B23" s="78">
        <f>IF(B6&gt;=0.5,TINV((1-B6)*2,B21-B17-1),TINV(B6*2,B21-B17-1))</f>
        <v>0.88888951776701974</v>
      </c>
      <c r="C23" s="127" t="s">
        <v>63</v>
      </c>
    </row>
    <row r="24" spans="1:3" ht="23.4" hidden="1" customHeight="1">
      <c r="A24" s="113" t="s">
        <v>89</v>
      </c>
      <c r="B24" s="78">
        <f>IF(B6&gt;=0.5,(B22+B23),(B22-B23))</f>
        <v>3.1948936529711869</v>
      </c>
      <c r="C24" s="127" t="s">
        <v>109</v>
      </c>
    </row>
    <row r="25" spans="1:3" ht="21.65" customHeight="1">
      <c r="A25" s="113" t="s">
        <v>88</v>
      </c>
      <c r="B25" s="78">
        <f>IF(B6&gt;=0.5,(IF(B5=2,TINV(B4,B26-B17-1),TINV(B4*2,B26-B17-1))+IF(B6&gt;=0.5,TINV((1-B6)*2,B26-B17-1),TINV(B6*2,B26-B17-1))),(IF(B5=2,TINV(B4,B26-B17-1),TINV(B4*2,B26-B17-1))-IF(B6&gt;=0.5,TINV((1-B6)*2,B26-B17-1),TINV(B6*2,B26-B17-1))))</f>
        <v>3.1948936529711869</v>
      </c>
      <c r="C25" s="127" t="s">
        <v>521</v>
      </c>
    </row>
    <row r="26" spans="1:3" ht="23.4" customHeight="1" thickBot="1">
      <c r="A26" s="115" t="s">
        <v>121</v>
      </c>
      <c r="B26" s="116">
        <v>10.1</v>
      </c>
      <c r="C26" s="232" t="s">
        <v>395</v>
      </c>
    </row>
    <row r="27" spans="1:3" ht="42.65" customHeight="1">
      <c r="A27" s="34"/>
    </row>
    <row r="28" spans="1:3" ht="2.4" customHeight="1">
      <c r="A28" s="34"/>
    </row>
    <row r="29" spans="1:3">
      <c r="A29" s="340" t="s">
        <v>415</v>
      </c>
      <c r="B29" s="340"/>
      <c r="C29" s="340"/>
    </row>
  </sheetData>
  <mergeCells count="2">
    <mergeCell ref="A1:C1"/>
    <mergeCell ref="A29:C29"/>
  </mergeCells>
  <phoneticPr fontId="9" type="noConversion"/>
  <printOptions horizontalCentered="1"/>
  <pageMargins left="1" right="1" top="1" bottom="1" header="0.5" footer="0.5"/>
  <pageSetup scale="54"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14693" r:id="rId4">
          <objectPr defaultSize="0" autoPict="0" r:id="rId5">
            <anchor moveWithCells="1">
              <from>
                <xdr:col>0</xdr:col>
                <xdr:colOff>76200</xdr:colOff>
                <xdr:row>10</xdr:row>
                <xdr:rowOff>63500</xdr:rowOff>
              </from>
              <to>
                <xdr:col>0</xdr:col>
                <xdr:colOff>527050</xdr:colOff>
                <xdr:row>10</xdr:row>
                <xdr:rowOff>387350</xdr:rowOff>
              </to>
            </anchor>
          </objectPr>
        </oleObject>
      </mc:Choice>
      <mc:Fallback>
        <oleObject progId="Equation.3" shapeId="114693" r:id="rId4"/>
      </mc:Fallback>
    </mc:AlternateContent>
    <mc:AlternateContent xmlns:mc="http://schemas.openxmlformats.org/markup-compatibility/2006">
      <mc:Choice Requires="x14">
        <oleObject progId="Equation.3" shapeId="114698" r:id="rId6">
          <objectPr defaultSize="0" autoPict="0" r:id="rId7">
            <anchor moveWithCells="1">
              <from>
                <xdr:col>0</xdr:col>
                <xdr:colOff>82550</xdr:colOff>
                <xdr:row>9</xdr:row>
                <xdr:rowOff>63500</xdr:rowOff>
              </from>
              <to>
                <xdr:col>0</xdr:col>
                <xdr:colOff>501650</xdr:colOff>
                <xdr:row>9</xdr:row>
                <xdr:rowOff>374650</xdr:rowOff>
              </to>
            </anchor>
          </objectPr>
        </oleObject>
      </mc:Choice>
      <mc:Fallback>
        <oleObject progId="Equation.3" shapeId="114698" r:id="rId6"/>
      </mc:Fallback>
    </mc:AlternateContent>
  </oleObjects>
  <mc:AlternateContent xmlns:mc="http://schemas.openxmlformats.org/markup-compatibility/2006">
    <mc:Choice Requires="x14">
      <controls>
        <mc:AlternateContent xmlns:mc="http://schemas.openxmlformats.org/markup-compatibility/2006">
          <mc:Choice Requires="x14">
            <control shapeId="114699" r:id="rId8" name="Button 11">
              <controlPr defaultSize="0" print="0" autoFill="0" autoPict="0" macro="[0]!N_BRA4_2r">
                <anchor moveWithCells="1" sizeWithCells="1">
                  <from>
                    <xdr:col>0</xdr:col>
                    <xdr:colOff>2870200</xdr:colOff>
                    <xdr:row>26</xdr:row>
                    <xdr:rowOff>146050</xdr:rowOff>
                  </from>
                  <to>
                    <xdr:col>1</xdr:col>
                    <xdr:colOff>850900</xdr:colOff>
                    <xdr:row>26</xdr:row>
                    <xdr:rowOff>488950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0">
    <tabColor theme="7" tint="0.39997558519241921"/>
    <pageSetUpPr fitToPage="1"/>
  </sheetPr>
  <dimension ref="A1:C25"/>
  <sheetViews>
    <sheetView showGridLines="0" zoomScale="80" zoomScaleNormal="80" workbookViewId="0">
      <selection activeCell="B22" sqref="B22"/>
    </sheetView>
  </sheetViews>
  <sheetFormatPr defaultColWidth="9.08984375" defaultRowHeight="18"/>
  <cols>
    <col min="1" max="1" width="54.54296875" style="10" customWidth="1"/>
    <col min="2" max="2" width="12.453125" style="73" customWidth="1"/>
    <col min="3" max="3" width="91.54296875" style="10" customWidth="1"/>
    <col min="4" max="16384" width="9.08984375" style="10"/>
  </cols>
  <sheetData>
    <row r="1" spans="1:3" s="67" customFormat="1" ht="33" customHeight="1">
      <c r="A1" s="333" t="s">
        <v>299</v>
      </c>
      <c r="B1" s="334"/>
      <c r="C1" s="335"/>
    </row>
    <row r="2" spans="1:3" s="67" customFormat="1" ht="24" customHeight="1">
      <c r="A2" s="110" t="s">
        <v>0</v>
      </c>
      <c r="B2" s="74"/>
      <c r="C2" s="126" t="s">
        <v>1</v>
      </c>
    </row>
    <row r="3" spans="1:3" s="67" customFormat="1" ht="24" customHeight="1">
      <c r="A3" s="273" t="s">
        <v>76</v>
      </c>
      <c r="B3" s="99">
        <v>0.29899999999999999</v>
      </c>
      <c r="C3" s="236" t="s">
        <v>96</v>
      </c>
    </row>
    <row r="4" spans="1:3" s="67" customFormat="1" ht="24" customHeight="1">
      <c r="A4" s="274" t="s">
        <v>111</v>
      </c>
      <c r="B4" s="97">
        <v>0.05</v>
      </c>
      <c r="C4" s="236" t="s">
        <v>413</v>
      </c>
    </row>
    <row r="5" spans="1:3" s="67" customFormat="1" ht="24" customHeight="1">
      <c r="A5" s="275" t="s">
        <v>36</v>
      </c>
      <c r="B5" s="97">
        <v>2</v>
      </c>
      <c r="C5" s="278"/>
    </row>
    <row r="6" spans="1:3" s="67" customFormat="1" ht="24" customHeight="1">
      <c r="A6" s="275" t="s">
        <v>94</v>
      </c>
      <c r="B6" s="98">
        <v>0.8</v>
      </c>
      <c r="C6" s="236" t="s">
        <v>379</v>
      </c>
    </row>
    <row r="7" spans="1:3" s="67" customFormat="1" ht="24" customHeight="1">
      <c r="A7" s="276" t="s">
        <v>18</v>
      </c>
      <c r="B7" s="99">
        <v>0.15</v>
      </c>
      <c r="C7" s="236" t="s">
        <v>515</v>
      </c>
    </row>
    <row r="8" spans="1:3" s="67" customFormat="1" ht="24" customHeight="1">
      <c r="A8" s="276" t="s">
        <v>50</v>
      </c>
      <c r="B8" s="99">
        <v>0.15</v>
      </c>
      <c r="C8" s="236" t="s">
        <v>516</v>
      </c>
    </row>
    <row r="9" spans="1:3" s="67" customFormat="1" ht="24" customHeight="1">
      <c r="A9" s="275" t="s">
        <v>10</v>
      </c>
      <c r="B9" s="99">
        <v>0.5</v>
      </c>
      <c r="C9" s="279" t="s">
        <v>250</v>
      </c>
    </row>
    <row r="10" spans="1:3" s="67" customFormat="1" ht="24" customHeight="1">
      <c r="A10" s="276" t="s">
        <v>2</v>
      </c>
      <c r="B10" s="99">
        <v>0.5</v>
      </c>
      <c r="C10" s="236" t="s">
        <v>386</v>
      </c>
    </row>
    <row r="11" spans="1:3" s="67" customFormat="1" ht="24" customHeight="1">
      <c r="A11" s="276" t="s">
        <v>51</v>
      </c>
      <c r="B11" s="99">
        <v>0.5</v>
      </c>
      <c r="C11" s="236" t="s">
        <v>311</v>
      </c>
    </row>
    <row r="12" spans="1:3" s="67" customFormat="1" ht="24" customHeight="1">
      <c r="A12" s="276" t="s">
        <v>55</v>
      </c>
      <c r="B12" s="99">
        <v>0.5</v>
      </c>
      <c r="C12" s="236" t="s">
        <v>517</v>
      </c>
    </row>
    <row r="13" spans="1:3" s="67" customFormat="1" ht="24" customHeight="1">
      <c r="A13" s="275" t="s">
        <v>19</v>
      </c>
      <c r="B13" s="100">
        <v>1</v>
      </c>
      <c r="C13" s="236" t="s">
        <v>241</v>
      </c>
    </row>
    <row r="14" spans="1:3" ht="24" customHeight="1">
      <c r="A14" s="275" t="s">
        <v>53</v>
      </c>
      <c r="B14" s="101">
        <v>10</v>
      </c>
      <c r="C14" s="279" t="s">
        <v>41</v>
      </c>
    </row>
    <row r="15" spans="1:3" ht="24" customHeight="1">
      <c r="A15" s="273" t="s">
        <v>54</v>
      </c>
      <c r="B15" s="101">
        <v>4</v>
      </c>
      <c r="C15" s="279" t="s">
        <v>42</v>
      </c>
    </row>
    <row r="16" spans="1:3" ht="24" customHeight="1">
      <c r="A16" s="273" t="s">
        <v>56</v>
      </c>
      <c r="B16" s="101">
        <v>4</v>
      </c>
      <c r="C16" s="279" t="s">
        <v>43</v>
      </c>
    </row>
    <row r="17" spans="1:3" ht="24" hidden="1" customHeight="1">
      <c r="A17" s="273" t="s">
        <v>120</v>
      </c>
      <c r="B17" s="102">
        <v>10.032613093830928</v>
      </c>
      <c r="C17" s="236" t="s">
        <v>33</v>
      </c>
    </row>
    <row r="18" spans="1:3" s="67" customFormat="1" ht="24" hidden="1" customHeight="1">
      <c r="A18" s="275" t="s">
        <v>86</v>
      </c>
      <c r="B18" s="78">
        <f>IF(B5=2,TINV(B4,B17*(B16-2)-B13),TINV(B4*2,B17*(B16-2)-B13))</f>
        <v>2.0930240544083096</v>
      </c>
      <c r="C18" s="236" t="s">
        <v>62</v>
      </c>
    </row>
    <row r="19" spans="1:3" s="67" customFormat="1" ht="24" hidden="1" customHeight="1">
      <c r="A19" s="275" t="s">
        <v>87</v>
      </c>
      <c r="B19" s="78">
        <f>IF(B6&gt;=0.5,TINV((1-B6)*2,B17*(B16-2)-B13),TINV(B6*2,B17*(B16-2)-B13))</f>
        <v>0.86095055026892919</v>
      </c>
      <c r="C19" s="236" t="s">
        <v>63</v>
      </c>
    </row>
    <row r="20" spans="1:3" s="67" customFormat="1" ht="24" hidden="1" customHeight="1">
      <c r="A20" s="275" t="s">
        <v>89</v>
      </c>
      <c r="B20" s="78">
        <f>IF(B6&gt;=0.5,(B18+B19),(B18-B19))</f>
        <v>2.9539746046772386</v>
      </c>
      <c r="C20" s="236" t="s">
        <v>109</v>
      </c>
    </row>
    <row r="21" spans="1:3" s="67" customFormat="1" ht="24" customHeight="1">
      <c r="A21" s="275" t="s">
        <v>88</v>
      </c>
      <c r="B21" s="78">
        <f>IF(B6&gt;=0.5,(IF(B5=2,TINV(B4,B22*(B16-2)-B13),TINV(B4*2,B22*(B16-2)-B13))+IF(B6&gt;=0.5,TINV((1-B6)*2,B22*(B16-2)-B13),TINV(B6*2,B22*(B16-2)-B13))),(IF(B5=2,TINV(B4,B22*(B16-2)-B13),TINV(B4*2,B22*(B16-2)-B13))-IF(B6&gt;=0.5,TINV((1-B6)*2,B22*(B16-2)-B13),TINV(B6*2,B22*(B16-2)-B13))))</f>
        <v>2.9539746046772386</v>
      </c>
      <c r="C21" s="280" t="s">
        <v>521</v>
      </c>
    </row>
    <row r="22" spans="1:3" ht="24" customHeight="1" thickBot="1">
      <c r="A22" s="277" t="s">
        <v>121</v>
      </c>
      <c r="B22" s="250">
        <v>10.1</v>
      </c>
      <c r="C22" s="281" t="s">
        <v>395</v>
      </c>
    </row>
    <row r="23" spans="1:3" ht="42.65" customHeight="1">
      <c r="A23" s="34"/>
    </row>
    <row r="24" spans="1:3" ht="3.65" customHeight="1">
      <c r="A24" s="34"/>
    </row>
    <row r="25" spans="1:3">
      <c r="A25" s="340" t="s">
        <v>415</v>
      </c>
      <c r="B25" s="340"/>
      <c r="C25" s="340"/>
    </row>
  </sheetData>
  <mergeCells count="2">
    <mergeCell ref="A25:C25"/>
    <mergeCell ref="A1:C1"/>
  </mergeCells>
  <phoneticPr fontId="9" type="noConversion"/>
  <printOptions horizontalCentered="1"/>
  <pageMargins left="1" right="1" top="1" bottom="1" header="0.5" footer="0.5"/>
  <pageSetup scale="54"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6979" r:id="rId4" name="Button 3">
              <controlPr defaultSize="0" print="0" autoFill="0" autoPict="0" macro="[0]!N_BRA4_3f">
                <anchor moveWithCells="1" sizeWithCells="1">
                  <from>
                    <xdr:col>0</xdr:col>
                    <xdr:colOff>3727450</xdr:colOff>
                    <xdr:row>22</xdr:row>
                    <xdr:rowOff>114300</xdr:rowOff>
                  </from>
                  <to>
                    <xdr:col>2</xdr:col>
                    <xdr:colOff>12700</xdr:colOff>
                    <xdr:row>22</xdr:row>
                    <xdr:rowOff>457200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1">
    <tabColor theme="7" tint="0.39997558519241921"/>
    <pageSetUpPr fitToPage="1"/>
  </sheetPr>
  <dimension ref="A1:C28"/>
  <sheetViews>
    <sheetView showGridLines="0" zoomScale="70" zoomScaleNormal="70" workbookViewId="0">
      <selection activeCell="C26" sqref="C26"/>
    </sheetView>
  </sheetViews>
  <sheetFormatPr defaultColWidth="9.08984375" defaultRowHeight="18"/>
  <cols>
    <col min="1" max="1" width="43.453125" style="10" customWidth="1"/>
    <col min="2" max="2" width="12.6328125" style="252" customWidth="1"/>
    <col min="3" max="3" width="107.453125" style="10" customWidth="1"/>
    <col min="4" max="16384" width="9.08984375" style="10"/>
  </cols>
  <sheetData>
    <row r="1" spans="1:3" s="67" customFormat="1" ht="33" customHeight="1">
      <c r="A1" s="330" t="s">
        <v>300</v>
      </c>
      <c r="B1" s="331"/>
      <c r="C1" s="332"/>
    </row>
    <row r="2" spans="1:3" s="67" customFormat="1" ht="25.25" customHeight="1">
      <c r="A2" s="110" t="s">
        <v>0</v>
      </c>
      <c r="B2" s="178"/>
      <c r="C2" s="126" t="s">
        <v>1</v>
      </c>
    </row>
    <row r="3" spans="1:3" s="67" customFormat="1" ht="25.25" customHeight="1">
      <c r="A3" s="111" t="s">
        <v>76</v>
      </c>
      <c r="B3" s="99">
        <v>0.2</v>
      </c>
      <c r="C3" s="127" t="s">
        <v>96</v>
      </c>
    </row>
    <row r="4" spans="1:3" s="67" customFormat="1" ht="25.25" customHeight="1">
      <c r="A4" s="112" t="s">
        <v>111</v>
      </c>
      <c r="B4" s="97">
        <v>0.05</v>
      </c>
      <c r="C4" s="127" t="s">
        <v>413</v>
      </c>
    </row>
    <row r="5" spans="1:3" s="67" customFormat="1" ht="25.25" customHeight="1">
      <c r="A5" s="113" t="s">
        <v>36</v>
      </c>
      <c r="B5" s="97">
        <v>2</v>
      </c>
      <c r="C5" s="237"/>
    </row>
    <row r="6" spans="1:3" s="67" customFormat="1" ht="25.25" customHeight="1">
      <c r="A6" s="113" t="s">
        <v>94</v>
      </c>
      <c r="B6" s="98">
        <v>0.8</v>
      </c>
      <c r="C6" s="127" t="s">
        <v>379</v>
      </c>
    </row>
    <row r="7" spans="1:3" s="67" customFormat="1" ht="25.25" customHeight="1">
      <c r="A7" s="114" t="s">
        <v>22</v>
      </c>
      <c r="B7" s="99">
        <v>0.1</v>
      </c>
      <c r="C7" s="127" t="s">
        <v>518</v>
      </c>
    </row>
    <row r="8" spans="1:3" s="67" customFormat="1" ht="25.25" customHeight="1">
      <c r="A8" s="114" t="s">
        <v>18</v>
      </c>
      <c r="B8" s="99">
        <v>0.1</v>
      </c>
      <c r="C8" s="127" t="s">
        <v>505</v>
      </c>
    </row>
    <row r="9" spans="1:3" s="67" customFormat="1" ht="25.25" customHeight="1">
      <c r="A9" s="114" t="s">
        <v>50</v>
      </c>
      <c r="B9" s="99">
        <v>0.1</v>
      </c>
      <c r="C9" s="127" t="s">
        <v>506</v>
      </c>
    </row>
    <row r="10" spans="1:3" s="67" customFormat="1" ht="39.65" customHeight="1">
      <c r="A10" s="114"/>
      <c r="B10" s="99">
        <v>0.5</v>
      </c>
      <c r="C10" s="127" t="s">
        <v>520</v>
      </c>
    </row>
    <row r="11" spans="1:3" s="67" customFormat="1" ht="25.25" customHeight="1">
      <c r="A11" s="113" t="s">
        <v>10</v>
      </c>
      <c r="B11" s="99">
        <v>0.5</v>
      </c>
      <c r="C11" s="129" t="s">
        <v>301</v>
      </c>
    </row>
    <row r="12" spans="1:3" s="67" customFormat="1" ht="25.25" customHeight="1">
      <c r="A12" s="114" t="s">
        <v>2</v>
      </c>
      <c r="B12" s="99">
        <v>0.5</v>
      </c>
      <c r="C12" s="127" t="s">
        <v>386</v>
      </c>
    </row>
    <row r="13" spans="1:3" s="67" customFormat="1" ht="25.25" customHeight="1">
      <c r="A13" s="114" t="s">
        <v>51</v>
      </c>
      <c r="B13" s="99">
        <v>0.5</v>
      </c>
      <c r="C13" s="127" t="s">
        <v>311</v>
      </c>
    </row>
    <row r="14" spans="1:3" s="67" customFormat="1" ht="25.25" customHeight="1">
      <c r="A14" s="114" t="s">
        <v>55</v>
      </c>
      <c r="B14" s="99">
        <v>0.5</v>
      </c>
      <c r="C14" s="127" t="s">
        <v>519</v>
      </c>
    </row>
    <row r="15" spans="1:3" s="67" customFormat="1" ht="25.25" customHeight="1">
      <c r="A15" s="114" t="s">
        <v>117</v>
      </c>
      <c r="B15" s="99">
        <v>0.5</v>
      </c>
      <c r="C15" s="127" t="s">
        <v>384</v>
      </c>
    </row>
    <row r="16" spans="1:3" s="67" customFormat="1" ht="25.25" customHeight="1">
      <c r="A16" s="113" t="s">
        <v>21</v>
      </c>
      <c r="B16" s="100">
        <v>3</v>
      </c>
      <c r="C16" s="127" t="s">
        <v>231</v>
      </c>
    </row>
    <row r="17" spans="1:3" ht="25.25" customHeight="1">
      <c r="A17" s="113" t="s">
        <v>39</v>
      </c>
      <c r="B17" s="101">
        <v>10</v>
      </c>
      <c r="C17" s="129" t="s">
        <v>41</v>
      </c>
    </row>
    <row r="18" spans="1:3" ht="25.25" customHeight="1">
      <c r="A18" s="111" t="s">
        <v>40</v>
      </c>
      <c r="B18" s="101">
        <v>4</v>
      </c>
      <c r="C18" s="129" t="s">
        <v>42</v>
      </c>
    </row>
    <row r="19" spans="1:3" ht="25.25" customHeight="1">
      <c r="A19" s="111" t="s">
        <v>44</v>
      </c>
      <c r="B19" s="101">
        <v>10</v>
      </c>
      <c r="C19" s="129" t="s">
        <v>43</v>
      </c>
    </row>
    <row r="20" spans="1:3" ht="25.25" hidden="1" customHeight="1">
      <c r="A20" s="111" t="s">
        <v>120</v>
      </c>
      <c r="B20" s="255">
        <v>13.28105213315078</v>
      </c>
      <c r="C20" s="127" t="s">
        <v>33</v>
      </c>
    </row>
    <row r="21" spans="1:3" s="67" customFormat="1" ht="25.25" hidden="1" customHeight="1">
      <c r="A21" s="113" t="s">
        <v>86</v>
      </c>
      <c r="B21" s="256">
        <f>IF(B5=2,TINV(B4,B20-B16-1),TINV(B4*2,B20-B16-1))</f>
        <v>2.2621571627982053</v>
      </c>
      <c r="C21" s="127" t="s">
        <v>62</v>
      </c>
    </row>
    <row r="22" spans="1:3" s="67" customFormat="1" ht="25.25" hidden="1" customHeight="1">
      <c r="A22" s="113" t="s">
        <v>87</v>
      </c>
      <c r="B22" s="256">
        <f>IF(B6&gt;=0.5,TINV((1-B6)*2,B20-B16-1),TINV(B6*2,B20-B16-1))</f>
        <v>0.88340385968553581</v>
      </c>
      <c r="C22" s="127" t="s">
        <v>63</v>
      </c>
    </row>
    <row r="23" spans="1:3" s="67" customFormat="1" ht="25.25" hidden="1" customHeight="1">
      <c r="A23" s="113" t="s">
        <v>89</v>
      </c>
      <c r="B23" s="256">
        <f>IF(B6&gt;=0.5,(B21+B22),(B21-B22))</f>
        <v>3.1455610224837409</v>
      </c>
      <c r="C23" s="127" t="s">
        <v>109</v>
      </c>
    </row>
    <row r="24" spans="1:3" s="67" customFormat="1" ht="25.25" customHeight="1">
      <c r="A24" s="113" t="s">
        <v>88</v>
      </c>
      <c r="B24" s="256">
        <f>IF(B6&gt;=0.5,(IF(B5=2,TINV(B4,B25-B16-1),TINV(B4*2,B25-B16-1))+IF(B6&gt;=0.5,TINV((1-B6)*2,B25-B16-1),TINV(B6*2,B25-B16-1))),(IF(B5=2,TINV(B4,B25-B16-1),TINV(B4*2,B25-B16-1))-IF(B6&gt;=0.5,TINV((1-B6)*2,B25-B16-1),TINV(B6*2,B25-B16-1))))</f>
        <v>3.1455610224837409</v>
      </c>
      <c r="C24" s="127" t="s">
        <v>521</v>
      </c>
    </row>
    <row r="25" spans="1:3" ht="25.25" customHeight="1" thickBot="1">
      <c r="A25" s="257" t="s">
        <v>121</v>
      </c>
      <c r="B25" s="250">
        <v>13.299999999999999</v>
      </c>
      <c r="C25" s="251" t="s">
        <v>395</v>
      </c>
    </row>
    <row r="26" spans="1:3" ht="40.75" customHeight="1">
      <c r="A26" s="34"/>
    </row>
    <row r="27" spans="1:3" ht="3.65" customHeight="1">
      <c r="A27" s="34"/>
    </row>
    <row r="28" spans="1:3">
      <c r="A28" s="340" t="s">
        <v>415</v>
      </c>
      <c r="B28" s="340"/>
      <c r="C28" s="340"/>
    </row>
  </sheetData>
  <mergeCells count="2">
    <mergeCell ref="A28:C28"/>
    <mergeCell ref="A1:C1"/>
  </mergeCells>
  <phoneticPr fontId="9" type="noConversion"/>
  <printOptions horizontalCentered="1"/>
  <pageMargins left="1" right="1" top="1" bottom="1" header="0.5" footer="0.5"/>
  <pageSetup scale="49"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31078" r:id="rId4">
          <objectPr defaultSize="0" autoPict="0" r:id="rId5">
            <anchor moveWithCells="1">
              <from>
                <xdr:col>0</xdr:col>
                <xdr:colOff>107950</xdr:colOff>
                <xdr:row>9</xdr:row>
                <xdr:rowOff>114300</xdr:rowOff>
              </from>
              <to>
                <xdr:col>0</xdr:col>
                <xdr:colOff>527050</xdr:colOff>
                <xdr:row>9</xdr:row>
                <xdr:rowOff>387350</xdr:rowOff>
              </to>
            </anchor>
          </objectPr>
        </oleObject>
      </mc:Choice>
      <mc:Fallback>
        <oleObject progId="Equation.3" shapeId="131078" r:id="rId4"/>
      </mc:Fallback>
    </mc:AlternateContent>
  </oleObjects>
  <mc:AlternateContent xmlns:mc="http://schemas.openxmlformats.org/markup-compatibility/2006">
    <mc:Choice Requires="x14">
      <controls>
        <mc:AlternateContent xmlns:mc="http://schemas.openxmlformats.org/markup-compatibility/2006">
          <mc:Choice Requires="x14">
            <control shapeId="131079" r:id="rId6" name="Button 7">
              <controlPr defaultSize="0" print="0" autoFill="0" autoPict="0" macro="[0]!N_BRA4_3r">
                <anchor moveWithCells="1" sizeWithCells="1">
                  <from>
                    <xdr:col>0</xdr:col>
                    <xdr:colOff>2978150</xdr:colOff>
                    <xdr:row>25</xdr:row>
                    <xdr:rowOff>114300</xdr:rowOff>
                  </from>
                  <to>
                    <xdr:col>2</xdr:col>
                    <xdr:colOff>6350</xdr:colOff>
                    <xdr:row>25</xdr:row>
                    <xdr:rowOff>463550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2">
    <tabColor rgb="FF66FFFF"/>
    <pageSetUpPr fitToPage="1"/>
  </sheetPr>
  <dimension ref="A1:C24"/>
  <sheetViews>
    <sheetView showGridLines="0" zoomScale="80" zoomScaleNormal="80" workbookViewId="0">
      <selection activeCell="C19" sqref="C19"/>
    </sheetView>
  </sheetViews>
  <sheetFormatPr defaultColWidth="9.08984375" defaultRowHeight="18"/>
  <cols>
    <col min="1" max="1" width="39.453125" style="10" customWidth="1"/>
    <col min="2" max="2" width="13.08984375" style="73" customWidth="1"/>
    <col min="3" max="3" width="98.453125" style="10" customWidth="1"/>
    <col min="4" max="16384" width="9.08984375" style="10"/>
  </cols>
  <sheetData>
    <row r="1" spans="1:3" ht="45" customHeight="1">
      <c r="A1" s="333" t="s">
        <v>385</v>
      </c>
      <c r="B1" s="334"/>
      <c r="C1" s="335"/>
    </row>
    <row r="2" spans="1:3" ht="25.75" customHeight="1">
      <c r="A2" s="110" t="s">
        <v>0</v>
      </c>
      <c r="B2" s="74"/>
      <c r="C2" s="126" t="s">
        <v>1</v>
      </c>
    </row>
    <row r="3" spans="1:3" ht="25.75" customHeight="1">
      <c r="A3" s="111" t="s">
        <v>76</v>
      </c>
      <c r="B3" s="99">
        <v>0.2</v>
      </c>
      <c r="C3" s="127" t="s">
        <v>96</v>
      </c>
    </row>
    <row r="4" spans="1:3" ht="25.75" customHeight="1">
      <c r="A4" s="112" t="s">
        <v>111</v>
      </c>
      <c r="B4" s="97">
        <v>0.05</v>
      </c>
      <c r="C4" s="127" t="s">
        <v>413</v>
      </c>
    </row>
    <row r="5" spans="1:3" ht="25.75" customHeight="1">
      <c r="A5" s="113" t="s">
        <v>36</v>
      </c>
      <c r="B5" s="97">
        <v>2</v>
      </c>
      <c r="C5" s="237"/>
    </row>
    <row r="6" spans="1:3" ht="25.75" customHeight="1">
      <c r="A6" s="113" t="s">
        <v>94</v>
      </c>
      <c r="B6" s="98">
        <v>0.8</v>
      </c>
      <c r="C6" s="127" t="s">
        <v>379</v>
      </c>
    </row>
    <row r="7" spans="1:3" ht="25.75" customHeight="1">
      <c r="A7" s="113" t="s">
        <v>9</v>
      </c>
      <c r="B7" s="99">
        <v>0.5</v>
      </c>
      <c r="C7" s="129" t="s">
        <v>240</v>
      </c>
    </row>
    <row r="8" spans="1:3" ht="25.75" customHeight="1">
      <c r="A8" s="114" t="s">
        <v>2</v>
      </c>
      <c r="B8" s="99">
        <v>0.5</v>
      </c>
      <c r="C8" s="127" t="s">
        <v>436</v>
      </c>
    </row>
    <row r="9" spans="1:3" ht="25.75" customHeight="1">
      <c r="A9" s="114" t="s">
        <v>5</v>
      </c>
      <c r="B9" s="100">
        <v>1</v>
      </c>
      <c r="C9" s="127" t="s">
        <v>285</v>
      </c>
    </row>
    <row r="10" spans="1:3" ht="25.75" customHeight="1">
      <c r="A10" s="113" t="s">
        <v>58</v>
      </c>
      <c r="B10" s="101">
        <v>20</v>
      </c>
      <c r="C10" s="129" t="s">
        <v>37</v>
      </c>
    </row>
    <row r="11" spans="1:3" ht="25.75" customHeight="1">
      <c r="A11" s="111" t="s">
        <v>69</v>
      </c>
      <c r="B11" s="99">
        <v>2.75</v>
      </c>
      <c r="C11" s="127" t="s">
        <v>474</v>
      </c>
    </row>
    <row r="12" spans="1:3" ht="25.75" hidden="1" customHeight="1">
      <c r="A12" s="111" t="s">
        <v>122</v>
      </c>
      <c r="B12" s="231">
        <v>54.037061443282674</v>
      </c>
      <c r="C12" s="127" t="s">
        <v>123</v>
      </c>
    </row>
    <row r="13" spans="1:3" ht="25.75" hidden="1" customHeight="1">
      <c r="A13" s="113" t="s">
        <v>86</v>
      </c>
      <c r="B13" s="78">
        <f>IF(B5=2,TINV(B4,B10*B12-2*B12-B9),TINV(B4*2,B10*B12-2*B12-B9))</f>
        <v>1.9624101027053764</v>
      </c>
      <c r="C13" s="127" t="s">
        <v>62</v>
      </c>
    </row>
    <row r="14" spans="1:3" ht="25.75" hidden="1" customHeight="1">
      <c r="A14" s="113" t="s">
        <v>87</v>
      </c>
      <c r="B14" s="78">
        <f>IF(B6&gt;=0.5,TINV((1-B6)*2,B10*B12-2*B12-B9),TINV(B6*2,B10*B12-2*B12-B9))</f>
        <v>0.84199156621989246</v>
      </c>
      <c r="C14" s="127" t="s">
        <v>63</v>
      </c>
    </row>
    <row r="15" spans="1:3" ht="25.75" hidden="1" customHeight="1">
      <c r="A15" s="113" t="s">
        <v>89</v>
      </c>
      <c r="B15" s="78">
        <f>IF(B6&gt;=0.5,(B13+B14),(B13-B14))</f>
        <v>2.8044016689252689</v>
      </c>
      <c r="C15" s="127" t="s">
        <v>109</v>
      </c>
    </row>
    <row r="16" spans="1:3" ht="25.75" customHeight="1">
      <c r="A16" s="113" t="s">
        <v>88</v>
      </c>
      <c r="B16" s="78">
        <f>IF(B6&gt;=0.5,(IF(B5=2,TINV(B4,B10*B17-2*B17-B9),TINV(B4*2,B10*B17-2*B17-B9))+IF(B6&gt;=0.5,TINV((1-B6)*2,B10*B17-2*B17-B9),TINV(B6*2,B10*B17-2*B17-B9))),(IF(B5=2,TINV(B4,B10*B17-2*B17-B9),TINV(B4*2,B10*B17-2*B17-B9))-IF(B6&gt;=0.5,TINV((1-B6)*2,B10*B17-2*B17-B9),TINV(B6*2,B10*B17-2*B17-B9))))</f>
        <v>2.8043987680988431</v>
      </c>
      <c r="C16" s="127" t="s">
        <v>521</v>
      </c>
    </row>
    <row r="17" spans="1:3" ht="25.75" customHeight="1" thickBot="1">
      <c r="A17" s="249" t="s">
        <v>124</v>
      </c>
      <c r="B17" s="263">
        <v>54.1</v>
      </c>
      <c r="C17" s="251" t="s">
        <v>394</v>
      </c>
    </row>
    <row r="18" spans="1:3" ht="3" hidden="1" customHeight="1">
      <c r="A18" s="75"/>
      <c r="B18" s="88"/>
      <c r="C18" s="76"/>
    </row>
    <row r="19" spans="1:3" ht="47" customHeight="1">
      <c r="A19" s="34"/>
      <c r="B19" s="88"/>
      <c r="C19" s="76"/>
    </row>
    <row r="20" spans="1:3" ht="6.75" customHeight="1"/>
    <row r="21" spans="1:3" ht="25.75" customHeight="1">
      <c r="A21" s="258"/>
      <c r="B21" s="206">
        <v>0.8</v>
      </c>
      <c r="C21" s="259" t="s">
        <v>84</v>
      </c>
    </row>
    <row r="22" spans="1:3" ht="25.75" customHeight="1">
      <c r="A22" s="253" t="s">
        <v>85</v>
      </c>
      <c r="B22" s="260">
        <f>1/(1-B21^2)</f>
        <v>2.7777777777777786</v>
      </c>
      <c r="C22" s="254"/>
    </row>
    <row r="24" spans="1:3" ht="28.5" customHeight="1">
      <c r="A24" s="340" t="s">
        <v>415</v>
      </c>
      <c r="B24" s="340"/>
      <c r="C24" s="340"/>
    </row>
  </sheetData>
  <protectedRanges>
    <protectedRange password="CF7A" sqref="B15" name="Forbidden revising"/>
  </protectedRanges>
  <mergeCells count="2">
    <mergeCell ref="A1:C1"/>
    <mergeCell ref="A24:C24"/>
  </mergeCells>
  <phoneticPr fontId="9" type="noConversion"/>
  <printOptions horizontalCentered="1"/>
  <pageMargins left="1" right="1" top="1" bottom="1" header="0.5" footer="0.5"/>
  <pageSetup scale="53"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63" r:id="rId4" name="Button 3">
              <controlPr defaultSize="0" print="0" autoFill="0" autoPict="0" macro="[0]!N_RD1">
                <anchor moveWithCells="1" sizeWithCells="1">
                  <from>
                    <xdr:col>0</xdr:col>
                    <xdr:colOff>2698750</xdr:colOff>
                    <xdr:row>18</xdr:row>
                    <xdr:rowOff>127000</xdr:rowOff>
                  </from>
                  <to>
                    <xdr:col>1</xdr:col>
                    <xdr:colOff>869950</xdr:colOff>
                    <xdr:row>18</xdr:row>
                    <xdr:rowOff>469900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5">
    <tabColor rgb="FF66FFFF"/>
    <pageSetUpPr fitToPage="1"/>
  </sheetPr>
  <dimension ref="A1:C27"/>
  <sheetViews>
    <sheetView showGridLines="0" zoomScale="80" zoomScaleNormal="80" workbookViewId="0">
      <selection sqref="A1:C1"/>
    </sheetView>
  </sheetViews>
  <sheetFormatPr defaultColWidth="9.08984375" defaultRowHeight="18"/>
  <cols>
    <col min="1" max="1" width="41.90625" style="10" customWidth="1"/>
    <col min="2" max="2" width="13.36328125" style="73" customWidth="1"/>
    <col min="3" max="3" width="98.36328125" style="10" customWidth="1"/>
    <col min="4" max="16384" width="9.08984375" style="10"/>
  </cols>
  <sheetData>
    <row r="1" spans="1:3" s="67" customFormat="1" ht="31.75" customHeight="1">
      <c r="A1" s="330" t="s">
        <v>409</v>
      </c>
      <c r="B1" s="331"/>
      <c r="C1" s="332"/>
    </row>
    <row r="2" spans="1:3" s="67" customFormat="1" ht="22.75" customHeight="1">
      <c r="A2" s="110" t="s">
        <v>0</v>
      </c>
      <c r="B2" s="74"/>
      <c r="C2" s="126" t="s">
        <v>1</v>
      </c>
    </row>
    <row r="3" spans="1:3" s="67" customFormat="1" ht="22.75" customHeight="1">
      <c r="A3" s="273" t="s">
        <v>76</v>
      </c>
      <c r="B3" s="99">
        <v>0.2</v>
      </c>
      <c r="C3" s="236" t="s">
        <v>96</v>
      </c>
    </row>
    <row r="4" spans="1:3" s="67" customFormat="1" ht="22.75" customHeight="1">
      <c r="A4" s="274" t="s">
        <v>111</v>
      </c>
      <c r="B4" s="104">
        <v>0.05</v>
      </c>
      <c r="C4" s="236" t="s">
        <v>413</v>
      </c>
    </row>
    <row r="5" spans="1:3" s="67" customFormat="1" ht="22.75" customHeight="1">
      <c r="A5" s="275" t="s">
        <v>36</v>
      </c>
      <c r="B5" s="104">
        <v>2</v>
      </c>
      <c r="C5" s="278"/>
    </row>
    <row r="6" spans="1:3" s="67" customFormat="1" ht="22.75" customHeight="1">
      <c r="A6" s="275" t="s">
        <v>94</v>
      </c>
      <c r="B6" s="105">
        <v>0.8</v>
      </c>
      <c r="C6" s="236" t="s">
        <v>294</v>
      </c>
    </row>
    <row r="7" spans="1:3" s="67" customFormat="1" ht="22.75" customHeight="1">
      <c r="A7" s="273" t="s">
        <v>4</v>
      </c>
      <c r="B7" s="103">
        <v>0.15</v>
      </c>
      <c r="C7" s="236" t="s">
        <v>406</v>
      </c>
    </row>
    <row r="8" spans="1:3" s="67" customFormat="1" ht="36">
      <c r="A8" s="273"/>
      <c r="B8" s="99">
        <v>0.2</v>
      </c>
      <c r="C8" s="236" t="s">
        <v>256</v>
      </c>
    </row>
    <row r="9" spans="1:3" s="67" customFormat="1" ht="22.75" customHeight="1">
      <c r="A9" s="275" t="s">
        <v>10</v>
      </c>
      <c r="B9" s="103">
        <v>0.5</v>
      </c>
      <c r="C9" s="279" t="s">
        <v>240</v>
      </c>
    </row>
    <row r="10" spans="1:3" s="67" customFormat="1" ht="22.75" customHeight="1">
      <c r="A10" s="276" t="s">
        <v>2</v>
      </c>
      <c r="B10" s="103">
        <v>0.5</v>
      </c>
      <c r="C10" s="236" t="s">
        <v>386</v>
      </c>
    </row>
    <row r="11" spans="1:3" s="67" customFormat="1" ht="22.75" customHeight="1">
      <c r="A11" s="276" t="s">
        <v>115</v>
      </c>
      <c r="B11" s="103">
        <v>0.1</v>
      </c>
      <c r="C11" s="236" t="s">
        <v>522</v>
      </c>
    </row>
    <row r="12" spans="1:3" s="67" customFormat="1" ht="22.75" customHeight="1">
      <c r="A12" s="276" t="s">
        <v>5</v>
      </c>
      <c r="B12" s="106">
        <v>1</v>
      </c>
      <c r="C12" s="236" t="s">
        <v>234</v>
      </c>
    </row>
    <row r="13" spans="1:3" ht="22.75" customHeight="1">
      <c r="A13" s="275" t="s">
        <v>26</v>
      </c>
      <c r="B13" s="107">
        <v>40</v>
      </c>
      <c r="C13" s="279" t="s">
        <v>37</v>
      </c>
    </row>
    <row r="14" spans="1:3" s="67" customFormat="1" ht="22.75" customHeight="1">
      <c r="A14" s="273" t="s">
        <v>68</v>
      </c>
      <c r="B14" s="205">
        <v>2.75</v>
      </c>
      <c r="C14" s="236" t="s">
        <v>471</v>
      </c>
    </row>
    <row r="15" spans="1:3" s="67" customFormat="1" ht="22.75" hidden="1" customHeight="1">
      <c r="A15" s="273" t="s">
        <v>122</v>
      </c>
      <c r="B15" s="231">
        <v>30.271011291086403</v>
      </c>
      <c r="C15" s="236" t="s">
        <v>123</v>
      </c>
    </row>
    <row r="16" spans="1:3" s="67" customFormat="1" ht="22.75" hidden="1" customHeight="1">
      <c r="A16" s="275" t="s">
        <v>86</v>
      </c>
      <c r="B16" s="78">
        <f>IF(B5=2,TINV(B4,B15-B12-1),TINV(B4*2,B15-B12-1))</f>
        <v>2.0484071417952445</v>
      </c>
      <c r="C16" s="236" t="s">
        <v>62</v>
      </c>
    </row>
    <row r="17" spans="1:3" s="67" customFormat="1" ht="22.75" hidden="1" customHeight="1">
      <c r="A17" s="275" t="s">
        <v>87</v>
      </c>
      <c r="B17" s="78">
        <f>IF(B6&gt;=0.5,TINV((1-B6)*2,B15-B12-1),TINV(B6*2,B15-B12-1))</f>
        <v>0.85464748558222203</v>
      </c>
      <c r="C17" s="236" t="s">
        <v>63</v>
      </c>
    </row>
    <row r="18" spans="1:3" s="67" customFormat="1" ht="22.75" hidden="1" customHeight="1">
      <c r="A18" s="275" t="s">
        <v>89</v>
      </c>
      <c r="B18" s="78">
        <f>IF(B6&gt;=0.5,(B16+B17),(B16-B17))</f>
        <v>2.9030546273774664</v>
      </c>
      <c r="C18" s="236" t="s">
        <v>109</v>
      </c>
    </row>
    <row r="19" spans="1:3" s="67" customFormat="1" ht="22.75" customHeight="1">
      <c r="A19" s="275" t="s">
        <v>88</v>
      </c>
      <c r="B19" s="72">
        <f>IF(B6&gt;=0.5,(IF(B5=2,TINV(B4,B20-B12-1),TINV(B4*2,B20-B12-1))+IF(B6&gt;=0.5,TINV((1-B6)*2,B20-B12-1),TINV(B6*2,B20-B12-1))),(IF(B5=2,TINV(B4,B20-B12-1),TINV(B4*2,B20-B12-1))-IF(B6&gt;=0.5,TINV((1-B6)*2,B20-B12-1),TINV(B6*2,B20-B12-1))))</f>
        <v>2.9030546273774664</v>
      </c>
      <c r="C19" s="236" t="s">
        <v>521</v>
      </c>
    </row>
    <row r="20" spans="1:3" ht="22.75" customHeight="1" thickBot="1">
      <c r="A20" s="282" t="s">
        <v>124</v>
      </c>
      <c r="B20" s="284">
        <v>30.400000000000002</v>
      </c>
      <c r="C20" s="283" t="s">
        <v>392</v>
      </c>
    </row>
    <row r="21" spans="1:3" ht="2.25" customHeight="1">
      <c r="A21" s="75"/>
      <c r="B21" s="89"/>
      <c r="C21" s="76"/>
    </row>
    <row r="22" spans="1:3" ht="45" customHeight="1">
      <c r="A22" s="34"/>
      <c r="B22" s="89"/>
      <c r="C22" s="76"/>
    </row>
    <row r="23" spans="1:3" ht="5.25" customHeight="1"/>
    <row r="24" spans="1:3" ht="22.75" customHeight="1">
      <c r="A24" s="258"/>
      <c r="B24" s="206">
        <v>0.8</v>
      </c>
      <c r="C24" s="259" t="s">
        <v>84</v>
      </c>
    </row>
    <row r="25" spans="1:3" ht="22.75" customHeight="1">
      <c r="A25" s="253" t="s">
        <v>85</v>
      </c>
      <c r="B25" s="260">
        <f>1/(1-B24^2)</f>
        <v>2.7777777777777786</v>
      </c>
      <c r="C25" s="254"/>
    </row>
    <row r="26" spans="1:3" ht="20.25" customHeight="1"/>
    <row r="27" spans="1:3" ht="18.75" customHeight="1">
      <c r="A27" s="340" t="s">
        <v>415</v>
      </c>
      <c r="B27" s="340"/>
      <c r="C27" s="340"/>
    </row>
  </sheetData>
  <protectedRanges>
    <protectedRange password="CF7A" sqref="B21:B22" name="Forbidden revising"/>
    <protectedRange password="CF7A" sqref="B16:B20" name="Forbidden revising_1"/>
  </protectedRanges>
  <mergeCells count="2">
    <mergeCell ref="A1:C1"/>
    <mergeCell ref="A27:C27"/>
  </mergeCells>
  <phoneticPr fontId="9" type="noConversion"/>
  <printOptions horizontalCentered="1"/>
  <pageMargins left="1" right="1" top="1" bottom="1" header="0.5" footer="0.5"/>
  <pageSetup scale="50"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49505" r:id="rId4">
          <objectPr defaultSize="0" autoPict="0" r:id="rId5">
            <anchor moveWithCells="1" sizeWithCells="1">
              <from>
                <xdr:col>0</xdr:col>
                <xdr:colOff>82550</xdr:colOff>
                <xdr:row>7</xdr:row>
                <xdr:rowOff>101600</xdr:rowOff>
              </from>
              <to>
                <xdr:col>0</xdr:col>
                <xdr:colOff>596900</xdr:colOff>
                <xdr:row>7</xdr:row>
                <xdr:rowOff>311150</xdr:rowOff>
              </to>
            </anchor>
          </objectPr>
        </oleObject>
      </mc:Choice>
      <mc:Fallback>
        <oleObject progId="Equation.3" shapeId="149505" r:id="rId4"/>
      </mc:Fallback>
    </mc:AlternateContent>
    <mc:AlternateContent xmlns:mc="http://schemas.openxmlformats.org/markup-compatibility/2006">
      <mc:Choice Requires="x14">
        <oleObject progId="Equation.3" shapeId="149512" r:id="rId6">
          <objectPr defaultSize="0" autoPict="0" r:id="rId7">
            <anchor moveWithCells="1" sizeWithCells="1">
              <from>
                <xdr:col>3</xdr:col>
                <xdr:colOff>0</xdr:colOff>
                <xdr:row>7</xdr:row>
                <xdr:rowOff>260350</xdr:rowOff>
              </from>
              <to>
                <xdr:col>3</xdr:col>
                <xdr:colOff>0</xdr:colOff>
                <xdr:row>8</xdr:row>
                <xdr:rowOff>0</xdr:rowOff>
              </to>
            </anchor>
          </objectPr>
        </oleObject>
      </mc:Choice>
      <mc:Fallback>
        <oleObject progId="Equation.3" shapeId="149512" r:id="rId6"/>
      </mc:Fallback>
    </mc:AlternateContent>
    <mc:AlternateContent xmlns:mc="http://schemas.openxmlformats.org/markup-compatibility/2006">
      <mc:Choice Requires="x14">
        <oleObject progId="Equation.3" shapeId="149513" r:id="rId8">
          <objectPr defaultSize="0" autoPict="0" r:id="rId7">
            <anchor moveWithCells="1" sizeWithCells="1">
              <from>
                <xdr:col>2</xdr:col>
                <xdr:colOff>3473450</xdr:colOff>
                <xdr:row>7</xdr:row>
                <xdr:rowOff>196850</xdr:rowOff>
              </from>
              <to>
                <xdr:col>2</xdr:col>
                <xdr:colOff>4025900</xdr:colOff>
                <xdr:row>7</xdr:row>
                <xdr:rowOff>444500</xdr:rowOff>
              </to>
            </anchor>
          </objectPr>
        </oleObject>
      </mc:Choice>
      <mc:Fallback>
        <oleObject progId="Equation.3" shapeId="149513" r:id="rId8"/>
      </mc:Fallback>
    </mc:AlternateContent>
  </oleObjects>
  <mc:AlternateContent xmlns:mc="http://schemas.openxmlformats.org/markup-compatibility/2006">
    <mc:Choice Requires="x14">
      <controls>
        <mc:AlternateContent xmlns:mc="http://schemas.openxmlformats.org/markup-compatibility/2006">
          <mc:Choice Requires="x14">
            <control shapeId="149514" r:id="rId9" name="Button 10">
              <controlPr defaultSize="0" print="0" autoFill="0" autoPict="0" macro="[0]!N_RD4">
                <anchor moveWithCells="1" sizeWithCells="1">
                  <from>
                    <xdr:col>1</xdr:col>
                    <xdr:colOff>6350</xdr:colOff>
                    <xdr:row>21</xdr:row>
                    <xdr:rowOff>107950</xdr:rowOff>
                  </from>
                  <to>
                    <xdr:col>1</xdr:col>
                    <xdr:colOff>889000</xdr:colOff>
                    <xdr:row>21</xdr:row>
                    <xdr:rowOff>450850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4">
    <tabColor rgb="FF66FFFF"/>
    <pageSetUpPr fitToPage="1"/>
  </sheetPr>
  <dimension ref="A1:C26"/>
  <sheetViews>
    <sheetView showGridLines="0" zoomScale="80" zoomScaleNormal="80" workbookViewId="0">
      <selection sqref="A1:C1"/>
    </sheetView>
  </sheetViews>
  <sheetFormatPr defaultColWidth="9.08984375" defaultRowHeight="18"/>
  <cols>
    <col min="1" max="1" width="43.08984375" style="10" customWidth="1"/>
    <col min="2" max="2" width="13" style="73" customWidth="1"/>
    <col min="3" max="3" width="96.453125" style="10" customWidth="1"/>
    <col min="4" max="16384" width="9.08984375" style="10"/>
  </cols>
  <sheetData>
    <row r="1" spans="1:3" ht="27.75" customHeight="1">
      <c r="A1" s="330" t="s">
        <v>410</v>
      </c>
      <c r="B1" s="331"/>
      <c r="C1" s="332"/>
    </row>
    <row r="2" spans="1:3" ht="22.25" customHeight="1">
      <c r="A2" s="110" t="s">
        <v>0</v>
      </c>
      <c r="B2" s="74"/>
      <c r="C2" s="126" t="s">
        <v>1</v>
      </c>
    </row>
    <row r="3" spans="1:3" ht="22.25" customHeight="1">
      <c r="A3" s="111" t="s">
        <v>76</v>
      </c>
      <c r="B3" s="99">
        <v>0.2</v>
      </c>
      <c r="C3" s="127" t="s">
        <v>96</v>
      </c>
    </row>
    <row r="4" spans="1:3" ht="22.25" customHeight="1">
      <c r="A4" s="112" t="s">
        <v>111</v>
      </c>
      <c r="B4" s="97">
        <v>0.05</v>
      </c>
      <c r="C4" s="127" t="s">
        <v>413</v>
      </c>
    </row>
    <row r="5" spans="1:3" ht="22.25" customHeight="1">
      <c r="A5" s="113" t="s">
        <v>36</v>
      </c>
      <c r="B5" s="97">
        <v>2</v>
      </c>
      <c r="C5" s="237"/>
    </row>
    <row r="6" spans="1:3" ht="22.25" customHeight="1">
      <c r="A6" s="113" t="s">
        <v>94</v>
      </c>
      <c r="B6" s="98">
        <v>0.8</v>
      </c>
      <c r="C6" s="127" t="s">
        <v>294</v>
      </c>
    </row>
    <row r="7" spans="1:3" ht="22.25" customHeight="1">
      <c r="A7" s="111" t="s">
        <v>4</v>
      </c>
      <c r="B7" s="99">
        <v>0.15</v>
      </c>
      <c r="C7" s="127" t="s">
        <v>406</v>
      </c>
    </row>
    <row r="8" spans="1:3" ht="22.25" customHeight="1">
      <c r="A8" s="113" t="s">
        <v>10</v>
      </c>
      <c r="B8" s="99">
        <v>0.5</v>
      </c>
      <c r="C8" s="129" t="s">
        <v>302</v>
      </c>
    </row>
    <row r="9" spans="1:3" ht="22.25" customHeight="1">
      <c r="A9" s="114" t="s">
        <v>2</v>
      </c>
      <c r="B9" s="99">
        <v>0.5</v>
      </c>
      <c r="C9" s="127" t="s">
        <v>423</v>
      </c>
    </row>
    <row r="10" spans="1:3" ht="22.25" customHeight="1">
      <c r="A10" s="114" t="s">
        <v>51</v>
      </c>
      <c r="B10" s="99">
        <v>0.5</v>
      </c>
      <c r="C10" s="127" t="s">
        <v>523</v>
      </c>
    </row>
    <row r="11" spans="1:3" ht="22.25" customHeight="1">
      <c r="A11" s="114" t="s">
        <v>5</v>
      </c>
      <c r="B11" s="100">
        <v>1</v>
      </c>
      <c r="C11" s="127" t="s">
        <v>245</v>
      </c>
    </row>
    <row r="12" spans="1:3" ht="22.25" customHeight="1">
      <c r="A12" s="113" t="s">
        <v>26</v>
      </c>
      <c r="B12" s="101">
        <v>20</v>
      </c>
      <c r="C12" s="129" t="s">
        <v>37</v>
      </c>
    </row>
    <row r="13" spans="1:3" ht="22.25" customHeight="1">
      <c r="A13" s="111" t="s">
        <v>69</v>
      </c>
      <c r="B13" s="205">
        <v>2.75</v>
      </c>
      <c r="C13" s="127" t="s">
        <v>471</v>
      </c>
    </row>
    <row r="14" spans="1:3" ht="22.25" hidden="1" customHeight="1">
      <c r="A14" s="111" t="s">
        <v>129</v>
      </c>
      <c r="B14" s="231">
        <v>209.69439302930675</v>
      </c>
      <c r="C14" s="127" t="s">
        <v>131</v>
      </c>
    </row>
    <row r="15" spans="1:3" ht="22.25" hidden="1" customHeight="1">
      <c r="A15" s="113" t="s">
        <v>86</v>
      </c>
      <c r="B15" s="78">
        <f>IF(B5=2,TINV(B4,B14-B11-2),TINV(B4*2,B14-B11-2))</f>
        <v>1.9715466694452266</v>
      </c>
      <c r="C15" s="127" t="s">
        <v>62</v>
      </c>
    </row>
    <row r="16" spans="1:3" ht="22.25" hidden="1" customHeight="1">
      <c r="A16" s="113" t="s">
        <v>87</v>
      </c>
      <c r="B16" s="78">
        <f>IF(B6&gt;=0.5,TINV((1-B6)*2,B14-B11-2),TINV(B6*2,B14-B11-2))</f>
        <v>0.84336957369945997</v>
      </c>
      <c r="C16" s="127" t="s">
        <v>63</v>
      </c>
    </row>
    <row r="17" spans="1:3" ht="22.25" hidden="1" customHeight="1">
      <c r="A17" s="113" t="s">
        <v>89</v>
      </c>
      <c r="B17" s="78">
        <f>IF(B6&gt;=0.5,(B15+B16),(B15-B16))</f>
        <v>2.8149162431446868</v>
      </c>
      <c r="C17" s="127" t="s">
        <v>109</v>
      </c>
    </row>
    <row r="18" spans="1:3" ht="21" customHeight="1">
      <c r="A18" s="113" t="s">
        <v>88</v>
      </c>
      <c r="B18" s="78">
        <f>IF(B6&gt;=0.5,(IF(B5=2,TINV(B4,B19-B11-2),TINV(B4*2,B19-B11-2))+IF(B6&gt;=0.5,TINV((1-B6)*2,B19-B11-2),TINV(B6*2,B19-B11-2))),(IF(B5=2,TINV(B4,B19-B11-2),TINV(B4*2,B19-B11-2))-IF(B6&gt;=0.5,TINV((1-B6)*2,B19-B11-2),TINV(B6*2,B19-B11-2))))</f>
        <v>2.8149162431446868</v>
      </c>
      <c r="C18" s="127" t="s">
        <v>521</v>
      </c>
    </row>
    <row r="19" spans="1:3" ht="22.25" customHeight="1" thickBot="1">
      <c r="A19" s="115" t="s">
        <v>128</v>
      </c>
      <c r="B19" s="264">
        <v>209.79999999999998</v>
      </c>
      <c r="C19" s="232" t="s">
        <v>391</v>
      </c>
    </row>
    <row r="20" spans="1:3" ht="0.75" customHeight="1">
      <c r="A20" s="75"/>
      <c r="B20" s="89"/>
      <c r="C20" s="76"/>
    </row>
    <row r="21" spans="1:3" ht="54" customHeight="1">
      <c r="A21" s="34"/>
    </row>
    <row r="22" spans="1:3" ht="5.25" customHeight="1"/>
    <row r="23" spans="1:3" ht="22.25" customHeight="1">
      <c r="A23" s="258"/>
      <c r="B23" s="206">
        <v>0.8</v>
      </c>
      <c r="C23" s="259" t="s">
        <v>84</v>
      </c>
    </row>
    <row r="24" spans="1:3" ht="22.25" customHeight="1">
      <c r="A24" s="253" t="s">
        <v>85</v>
      </c>
      <c r="B24" s="260">
        <f>1/(1-B23^2)</f>
        <v>2.7777777777777786</v>
      </c>
      <c r="C24" s="254"/>
    </row>
    <row r="26" spans="1:3">
      <c r="A26" s="340" t="s">
        <v>415</v>
      </c>
      <c r="B26" s="340"/>
      <c r="C26" s="340"/>
    </row>
  </sheetData>
  <protectedRanges>
    <protectedRange password="CF7A" sqref="B15:B20" name="Forbidden revising"/>
  </protectedRanges>
  <mergeCells count="2">
    <mergeCell ref="A26:C26"/>
    <mergeCell ref="A1:C1"/>
  </mergeCells>
  <phoneticPr fontId="9" type="noConversion"/>
  <printOptions horizontalCentered="1"/>
  <pageMargins left="1" right="1" top="1" bottom="1" header="0.5" footer="0.5"/>
  <pageSetup scale="53"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4" r:id="rId4" name="Button 4">
              <controlPr defaultSize="0" print="0" autoFill="0" autoPict="0" macro="[0]!N_RD3">
                <anchor moveWithCells="1" sizeWithCells="1">
                  <from>
                    <xdr:col>0</xdr:col>
                    <xdr:colOff>2940050</xdr:colOff>
                    <xdr:row>20</xdr:row>
                    <xdr:rowOff>146050</xdr:rowOff>
                  </from>
                  <to>
                    <xdr:col>1</xdr:col>
                    <xdr:colOff>876300</xdr:colOff>
                    <xdr:row>20</xdr:row>
                    <xdr:rowOff>488950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7">
    <tabColor rgb="FF66FFFF"/>
    <pageSetUpPr fitToPage="1"/>
  </sheetPr>
  <dimension ref="A1:C30"/>
  <sheetViews>
    <sheetView showGridLines="0" zoomScale="80" zoomScaleNormal="80" workbookViewId="0">
      <selection activeCell="H14" sqref="H14"/>
    </sheetView>
  </sheetViews>
  <sheetFormatPr defaultColWidth="9.08984375" defaultRowHeight="18"/>
  <cols>
    <col min="1" max="1" width="42.90625" style="10" customWidth="1"/>
    <col min="2" max="2" width="12.90625" style="73" customWidth="1"/>
    <col min="3" max="3" width="90.81640625" style="10" customWidth="1"/>
    <col min="4" max="16384" width="9.08984375" style="10"/>
  </cols>
  <sheetData>
    <row r="1" spans="1:3" ht="38.25" customHeight="1">
      <c r="A1" s="330" t="s">
        <v>303</v>
      </c>
      <c r="B1" s="331"/>
      <c r="C1" s="332"/>
    </row>
    <row r="2" spans="1:3" ht="22.25" customHeight="1">
      <c r="A2" s="110" t="s">
        <v>0</v>
      </c>
      <c r="B2" s="74"/>
      <c r="C2" s="126" t="s">
        <v>1</v>
      </c>
    </row>
    <row r="3" spans="1:3" ht="22.25" customHeight="1">
      <c r="A3" s="273" t="s">
        <v>76</v>
      </c>
      <c r="B3" s="99">
        <v>0.25</v>
      </c>
      <c r="C3" s="236" t="s">
        <v>96</v>
      </c>
    </row>
    <row r="4" spans="1:3" ht="22.25" customHeight="1">
      <c r="A4" s="274" t="s">
        <v>111</v>
      </c>
      <c r="B4" s="104">
        <v>0.05</v>
      </c>
      <c r="C4" s="236" t="s">
        <v>413</v>
      </c>
    </row>
    <row r="5" spans="1:3" ht="22.25" customHeight="1">
      <c r="A5" s="275" t="s">
        <v>36</v>
      </c>
      <c r="B5" s="104">
        <v>2</v>
      </c>
      <c r="C5" s="278"/>
    </row>
    <row r="6" spans="1:3" ht="22.25" customHeight="1">
      <c r="A6" s="275" t="s">
        <v>94</v>
      </c>
      <c r="B6" s="105">
        <v>0.8</v>
      </c>
      <c r="C6" s="236" t="s">
        <v>294</v>
      </c>
    </row>
    <row r="7" spans="1:3" ht="22.25" customHeight="1">
      <c r="A7" s="276" t="s">
        <v>18</v>
      </c>
      <c r="B7" s="103">
        <v>0.15</v>
      </c>
      <c r="C7" s="236" t="s">
        <v>430</v>
      </c>
    </row>
    <row r="8" spans="1:3" ht="22.25" customHeight="1">
      <c r="A8" s="276" t="s">
        <v>50</v>
      </c>
      <c r="B8" s="103">
        <v>0.1</v>
      </c>
      <c r="C8" s="236" t="s">
        <v>524</v>
      </c>
    </row>
    <row r="9" spans="1:3" ht="22.25" customHeight="1">
      <c r="A9" s="275" t="s">
        <v>10</v>
      </c>
      <c r="B9" s="103">
        <v>0.5</v>
      </c>
      <c r="C9" s="279" t="s">
        <v>304</v>
      </c>
    </row>
    <row r="10" spans="1:3" ht="22.25" customHeight="1">
      <c r="A10" s="276" t="s">
        <v>2</v>
      </c>
      <c r="B10" s="103">
        <v>0.5</v>
      </c>
      <c r="C10" s="236" t="s">
        <v>386</v>
      </c>
    </row>
    <row r="11" spans="1:3" ht="22.25" customHeight="1">
      <c r="A11" s="276" t="s">
        <v>51</v>
      </c>
      <c r="B11" s="103">
        <v>0.5</v>
      </c>
      <c r="C11" s="236" t="s">
        <v>311</v>
      </c>
    </row>
    <row r="12" spans="1:3" ht="22.25" customHeight="1">
      <c r="A12" s="276" t="s">
        <v>55</v>
      </c>
      <c r="B12" s="103">
        <v>0.5</v>
      </c>
      <c r="C12" s="236" t="s">
        <v>525</v>
      </c>
    </row>
    <row r="13" spans="1:3" ht="22.25" customHeight="1">
      <c r="A13" s="275" t="s">
        <v>19</v>
      </c>
      <c r="B13" s="106">
        <v>1</v>
      </c>
      <c r="C13" s="236" t="s">
        <v>241</v>
      </c>
    </row>
    <row r="14" spans="1:3" ht="22.25" customHeight="1">
      <c r="A14" s="275" t="s">
        <v>39</v>
      </c>
      <c r="B14" s="107">
        <v>20</v>
      </c>
      <c r="C14" s="279" t="s">
        <v>41</v>
      </c>
    </row>
    <row r="15" spans="1:3" ht="22.25" customHeight="1">
      <c r="A15" s="273" t="s">
        <v>40</v>
      </c>
      <c r="B15" s="107">
        <v>4</v>
      </c>
      <c r="C15" s="279" t="s">
        <v>42</v>
      </c>
    </row>
    <row r="16" spans="1:3" ht="22.25" customHeight="1">
      <c r="A16" s="273" t="s">
        <v>69</v>
      </c>
      <c r="B16" s="205">
        <v>2.75</v>
      </c>
      <c r="C16" s="236" t="s">
        <v>471</v>
      </c>
    </row>
    <row r="17" spans="1:3" ht="24" hidden="1" customHeight="1">
      <c r="A17" s="273" t="s">
        <v>132</v>
      </c>
      <c r="B17" s="231">
        <v>129.30395301897605</v>
      </c>
      <c r="C17" s="236" t="s">
        <v>134</v>
      </c>
    </row>
    <row r="18" spans="1:3" ht="24" hidden="1" customHeight="1">
      <c r="A18" s="275" t="s">
        <v>86</v>
      </c>
      <c r="B18" s="78">
        <f>IF(B5=2,TINV(B4,B17-B13-2),TINV(B4*2,B17-B13-2))</f>
        <v>1.9789706019906266</v>
      </c>
      <c r="C18" s="236" t="s">
        <v>62</v>
      </c>
    </row>
    <row r="19" spans="1:3" ht="24" hidden="1" customHeight="1">
      <c r="A19" s="275" t="s">
        <v>87</v>
      </c>
      <c r="B19" s="78">
        <f>IF(B6&gt;=0.5,TINV((1-B6)*2,B17-B13-2),TINV(B6*2,B17-B13-2))</f>
        <v>0.84448324787188089</v>
      </c>
      <c r="C19" s="236" t="s">
        <v>63</v>
      </c>
    </row>
    <row r="20" spans="1:3" ht="24" hidden="1" customHeight="1">
      <c r="A20" s="275" t="s">
        <v>89</v>
      </c>
      <c r="B20" s="78">
        <f>IF(B6&gt;=0.5,(B18+B19),(B18-B19))</f>
        <v>2.8234538498625072</v>
      </c>
      <c r="C20" s="236" t="s">
        <v>109</v>
      </c>
    </row>
    <row r="21" spans="1:3" ht="22.25" customHeight="1">
      <c r="A21" s="275" t="s">
        <v>88</v>
      </c>
      <c r="B21" s="72">
        <f>IF(B6&gt;=0.5,(IF(B5=2,TINV(B4,B22-B13-2),TINV(B4*2,B22-B13-2))+IF(B6&gt;=0.5,TINV((1-B6)*2,B22-B13-2),TINV(B6*2,B22-B13-2))),(IF(B5=2,TINV(B4,B22-B13-2),TINV(B4*2,B22-B13-2))-IF(B6&gt;=0.5,TINV((1-B6)*2,B22-B13-2),TINV(B6*2,B22-B13-2))))</f>
        <v>2.8234538498625072</v>
      </c>
      <c r="C21" s="236" t="s">
        <v>521</v>
      </c>
    </row>
    <row r="22" spans="1:3" ht="22.25" customHeight="1" thickBot="1">
      <c r="A22" s="282" t="s">
        <v>133</v>
      </c>
      <c r="B22" s="264">
        <v>129.4</v>
      </c>
      <c r="C22" s="283" t="s">
        <v>390</v>
      </c>
    </row>
    <row r="23" spans="1:3" ht="1.5" customHeight="1">
      <c r="A23" s="75"/>
    </row>
    <row r="24" spans="1:3" ht="46.25" customHeight="1">
      <c r="A24" s="34"/>
    </row>
    <row r="25" spans="1:3" ht="1.5" customHeight="1"/>
    <row r="26" spans="1:3" ht="5.25" customHeight="1"/>
    <row r="27" spans="1:3" ht="22.25" customHeight="1">
      <c r="A27" s="258"/>
      <c r="B27" s="206">
        <v>0.8</v>
      </c>
      <c r="C27" s="259" t="s">
        <v>305</v>
      </c>
    </row>
    <row r="28" spans="1:3" ht="22.25" customHeight="1">
      <c r="A28" s="253" t="s">
        <v>85</v>
      </c>
      <c r="B28" s="260">
        <f>1/(1-B27^2)</f>
        <v>2.7777777777777786</v>
      </c>
      <c r="C28" s="254"/>
    </row>
    <row r="30" spans="1:3" ht="18.75" customHeight="1">
      <c r="A30" s="340" t="s">
        <v>415</v>
      </c>
      <c r="B30" s="340"/>
      <c r="C30" s="340"/>
    </row>
  </sheetData>
  <mergeCells count="2">
    <mergeCell ref="A1:C1"/>
    <mergeCell ref="A30:C30"/>
  </mergeCells>
  <phoneticPr fontId="9" type="noConversion"/>
  <printOptions horizontalCentered="1"/>
  <pageMargins left="1" right="1" top="1" bottom="1" header="0.5" footer="0.5"/>
  <pageSetup scale="53"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1556" r:id="rId4" name="Button 4">
              <controlPr defaultSize="0" print="0" autoFill="0" autoPict="0" macro="[0]!N_RD6">
                <anchor moveWithCells="1" sizeWithCells="1">
                  <from>
                    <xdr:col>0</xdr:col>
                    <xdr:colOff>2940050</xdr:colOff>
                    <xdr:row>23</xdr:row>
                    <xdr:rowOff>114300</xdr:rowOff>
                  </from>
                  <to>
                    <xdr:col>1</xdr:col>
                    <xdr:colOff>882650</xdr:colOff>
                    <xdr:row>23</xdr:row>
                    <xdr:rowOff>457200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53">
    <tabColor rgb="FF66FFFF"/>
    <pageSetUpPr fitToPage="1"/>
  </sheetPr>
  <dimension ref="A1:C27"/>
  <sheetViews>
    <sheetView showGridLines="0" zoomScale="80" zoomScaleNormal="80" workbookViewId="0">
      <selection sqref="A1:C1"/>
    </sheetView>
  </sheetViews>
  <sheetFormatPr defaultColWidth="9.08984375" defaultRowHeight="18"/>
  <cols>
    <col min="1" max="1" width="43.08984375" style="10" customWidth="1"/>
    <col min="2" max="2" width="13.08984375" style="73" customWidth="1"/>
    <col min="3" max="3" width="93" style="10" customWidth="1"/>
    <col min="4" max="16384" width="9.08984375" style="10"/>
  </cols>
  <sheetData>
    <row r="1" spans="1:3" ht="44.25" customHeight="1">
      <c r="A1" s="333" t="s">
        <v>306</v>
      </c>
      <c r="B1" s="334"/>
      <c r="C1" s="335"/>
    </row>
    <row r="2" spans="1:3" ht="22.25" customHeight="1">
      <c r="A2" s="110" t="s">
        <v>0</v>
      </c>
      <c r="B2" s="74"/>
      <c r="C2" s="126" t="s">
        <v>1</v>
      </c>
    </row>
    <row r="3" spans="1:3" ht="22.25" customHeight="1">
      <c r="A3" s="111" t="s">
        <v>76</v>
      </c>
      <c r="B3" s="99">
        <v>0.2</v>
      </c>
      <c r="C3" s="127" t="s">
        <v>96</v>
      </c>
    </row>
    <row r="4" spans="1:3" ht="22.25" customHeight="1">
      <c r="A4" s="112" t="s">
        <v>111</v>
      </c>
      <c r="B4" s="97">
        <v>0.05</v>
      </c>
      <c r="C4" s="127" t="s">
        <v>413</v>
      </c>
    </row>
    <row r="5" spans="1:3" ht="22.25" customHeight="1">
      <c r="A5" s="113" t="s">
        <v>36</v>
      </c>
      <c r="B5" s="97">
        <v>2</v>
      </c>
      <c r="C5" s="237"/>
    </row>
    <row r="6" spans="1:3" ht="22.25" customHeight="1">
      <c r="A6" s="113" t="s">
        <v>94</v>
      </c>
      <c r="B6" s="98">
        <v>0.8</v>
      </c>
      <c r="C6" s="127" t="s">
        <v>294</v>
      </c>
    </row>
    <row r="7" spans="1:3" ht="22.25" customHeight="1">
      <c r="A7" s="114" t="s">
        <v>50</v>
      </c>
      <c r="B7" s="99">
        <v>0.15</v>
      </c>
      <c r="C7" s="127" t="s">
        <v>425</v>
      </c>
    </row>
    <row r="8" spans="1:3" s="67" customFormat="1" ht="22.25" customHeight="1">
      <c r="A8" s="113" t="s">
        <v>10</v>
      </c>
      <c r="B8" s="99">
        <v>0.5</v>
      </c>
      <c r="C8" s="129" t="s">
        <v>307</v>
      </c>
    </row>
    <row r="9" spans="1:3" ht="22.25" customHeight="1">
      <c r="A9" s="114" t="s">
        <v>2</v>
      </c>
      <c r="B9" s="99">
        <v>0.5</v>
      </c>
      <c r="C9" s="127" t="s">
        <v>423</v>
      </c>
    </row>
    <row r="10" spans="1:3" ht="22.25" customHeight="1">
      <c r="A10" s="114" t="s">
        <v>51</v>
      </c>
      <c r="B10" s="99">
        <v>0.5</v>
      </c>
      <c r="C10" s="127" t="s">
        <v>424</v>
      </c>
    </row>
    <row r="11" spans="1:3" s="67" customFormat="1" ht="22.25" customHeight="1">
      <c r="A11" s="113" t="s">
        <v>52</v>
      </c>
      <c r="B11" s="100">
        <v>0</v>
      </c>
      <c r="C11" s="127" t="s">
        <v>245</v>
      </c>
    </row>
    <row r="12" spans="1:3" s="67" customFormat="1" ht="22.25" customHeight="1">
      <c r="A12" s="113" t="s">
        <v>39</v>
      </c>
      <c r="B12" s="101">
        <v>20</v>
      </c>
      <c r="C12" s="129" t="s">
        <v>41</v>
      </c>
    </row>
    <row r="13" spans="1:3" ht="22.25" customHeight="1">
      <c r="A13" s="111" t="s">
        <v>40</v>
      </c>
      <c r="B13" s="101">
        <v>4</v>
      </c>
      <c r="C13" s="129" t="s">
        <v>42</v>
      </c>
    </row>
    <row r="14" spans="1:3" ht="22.25" customHeight="1">
      <c r="A14" s="111" t="s">
        <v>69</v>
      </c>
      <c r="B14" s="205">
        <v>2.75</v>
      </c>
      <c r="C14" s="127" t="s">
        <v>471</v>
      </c>
    </row>
    <row r="15" spans="1:3" ht="21.65" hidden="1" customHeight="1">
      <c r="A15" s="111" t="s">
        <v>125</v>
      </c>
      <c r="B15" s="231">
        <v>31.932753798332833</v>
      </c>
      <c r="C15" s="127" t="s">
        <v>127</v>
      </c>
    </row>
    <row r="16" spans="1:3" ht="20" hidden="1" customHeight="1">
      <c r="A16" s="113" t="s">
        <v>86</v>
      </c>
      <c r="B16" s="78">
        <f>IF(B5=2,TINV(B4,B15*(B13-1)-B11),TINV(B4*2,B15*(B13-1)-B11))</f>
        <v>1.9852510035054973</v>
      </c>
      <c r="C16" s="127" t="s">
        <v>62</v>
      </c>
    </row>
    <row r="17" spans="1:3" ht="20" hidden="1" customHeight="1">
      <c r="A17" s="113" t="s">
        <v>87</v>
      </c>
      <c r="B17" s="78">
        <f>IF(B6&gt;=0.5,TINV((1-B6)*2,B15*(B13-1)-B11),TINV(B6*2,B15*(B13-1)-B11))</f>
        <v>0.84542120180177383</v>
      </c>
      <c r="C17" s="127" t="s">
        <v>63</v>
      </c>
    </row>
    <row r="18" spans="1:3" ht="18.649999999999999" hidden="1" customHeight="1">
      <c r="A18" s="113" t="s">
        <v>89</v>
      </c>
      <c r="B18" s="78">
        <f>IF(B6&gt;=0.5,(B16+B17),(B16-B17))</f>
        <v>2.830672205307271</v>
      </c>
      <c r="C18" s="127" t="s">
        <v>109</v>
      </c>
    </row>
    <row r="19" spans="1:3" ht="22.25" customHeight="1">
      <c r="A19" s="113" t="s">
        <v>88</v>
      </c>
      <c r="B19" s="78">
        <f>IF(B6&gt;=0.5,(IF(B5=2,TINV(B4,B20*(B13-1)-B11),TINV(B4*2,B20*(B13-1)-B11))+IF(B6&gt;=0.5,TINV((1-B6)*2,B20*(B13-1)-B11),TINV(B6*2,B20*(B13-1)-B11))),(IF(B5=2,TINV(B4,B20*(B13-1)-B11),TINV(B4*2,B20*(B13-1)-B11))-IF(B6&gt;=0.5,TINV((1-B6)*2,B20*(B13-1)-B11),TINV(B6*2,B20*(B13-1)-B11))))</f>
        <v>2.8303657612820734</v>
      </c>
      <c r="C19" s="127" t="s">
        <v>521</v>
      </c>
    </row>
    <row r="20" spans="1:3" ht="22.25" customHeight="1" thickBot="1">
      <c r="A20" s="257" t="s">
        <v>126</v>
      </c>
      <c r="B20" s="264">
        <v>32</v>
      </c>
      <c r="C20" s="251" t="s">
        <v>389</v>
      </c>
    </row>
    <row r="21" spans="1:3" ht="2.25" customHeight="1">
      <c r="A21" s="75"/>
      <c r="B21" s="89"/>
      <c r="C21" s="76"/>
    </row>
    <row r="22" spans="1:3" ht="39.65" customHeight="1">
      <c r="A22" s="34"/>
      <c r="B22" s="89"/>
      <c r="C22" s="76"/>
    </row>
    <row r="23" spans="1:3" ht="12" customHeight="1"/>
    <row r="24" spans="1:3" ht="22.25" customHeight="1">
      <c r="A24" s="258"/>
      <c r="B24" s="206">
        <v>0.8</v>
      </c>
      <c r="C24" s="259" t="s">
        <v>308</v>
      </c>
    </row>
    <row r="25" spans="1:3" ht="22.25" customHeight="1">
      <c r="A25" s="253" t="s">
        <v>85</v>
      </c>
      <c r="B25" s="260">
        <f>1/(1-B24^2)</f>
        <v>2.7777777777777786</v>
      </c>
      <c r="C25" s="254"/>
    </row>
    <row r="27" spans="1:3">
      <c r="A27" s="340" t="s">
        <v>415</v>
      </c>
      <c r="B27" s="340"/>
      <c r="C27" s="340"/>
    </row>
  </sheetData>
  <mergeCells count="2">
    <mergeCell ref="A1:C1"/>
    <mergeCell ref="A27:C27"/>
  </mergeCells>
  <phoneticPr fontId="9" type="noConversion"/>
  <printOptions horizontalCentered="1"/>
  <pageMargins left="1" right="1" top="1" bottom="1" header="0.5" footer="0.5"/>
  <pageSetup scale="54" fitToHeight="6" orientation="portrait" r:id="rId1"/>
  <headerFooter>
    <oddFooter>&amp;L&amp;F&amp;A&amp;RPrinted: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60" r:id="rId4" name="Button 4">
              <controlPr defaultSize="0" print="0" autoFill="0" autoPict="0" macro="[0]!N_RD2">
                <anchor moveWithCells="1" sizeWithCells="1">
                  <from>
                    <xdr:col>1</xdr:col>
                    <xdr:colOff>6350</xdr:colOff>
                    <xdr:row>21</xdr:row>
                    <xdr:rowOff>152400</xdr:rowOff>
                  </from>
                  <to>
                    <xdr:col>1</xdr:col>
                    <xdr:colOff>889000</xdr:colOff>
                    <xdr:row>21</xdr:row>
                    <xdr:rowOff>495300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6">
    <tabColor rgb="FF66FFFF"/>
    <pageSetUpPr fitToPage="1"/>
  </sheetPr>
  <dimension ref="A1:C29"/>
  <sheetViews>
    <sheetView showGridLines="0" zoomScale="80" zoomScaleNormal="80" workbookViewId="0">
      <selection activeCell="C24" sqref="C24"/>
    </sheetView>
  </sheetViews>
  <sheetFormatPr defaultColWidth="9.08984375" defaultRowHeight="18"/>
  <cols>
    <col min="1" max="1" width="39.54296875" style="10" customWidth="1"/>
    <col min="2" max="2" width="13.54296875" style="73" customWidth="1"/>
    <col min="3" max="3" width="101.36328125" style="10" customWidth="1"/>
    <col min="4" max="16384" width="9.08984375" style="10"/>
  </cols>
  <sheetData>
    <row r="1" spans="1:3" ht="45.65" customHeight="1">
      <c r="A1" s="330" t="s">
        <v>309</v>
      </c>
      <c r="B1" s="331"/>
      <c r="C1" s="332"/>
    </row>
    <row r="2" spans="1:3" ht="23.4" customHeight="1">
      <c r="A2" s="110" t="s">
        <v>0</v>
      </c>
      <c r="B2" s="74"/>
      <c r="C2" s="126" t="s">
        <v>1</v>
      </c>
    </row>
    <row r="3" spans="1:3" ht="23.4" customHeight="1">
      <c r="A3" s="273" t="s">
        <v>76</v>
      </c>
      <c r="B3" s="99">
        <v>0.2</v>
      </c>
      <c r="C3" s="236" t="s">
        <v>96</v>
      </c>
    </row>
    <row r="4" spans="1:3" ht="23.4" customHeight="1">
      <c r="A4" s="274" t="s">
        <v>111</v>
      </c>
      <c r="B4" s="104">
        <v>0.05</v>
      </c>
      <c r="C4" s="236" t="s">
        <v>414</v>
      </c>
    </row>
    <row r="5" spans="1:3" ht="23.4" customHeight="1">
      <c r="A5" s="275" t="s">
        <v>36</v>
      </c>
      <c r="B5" s="104">
        <v>2</v>
      </c>
      <c r="C5" s="278"/>
    </row>
    <row r="6" spans="1:3" ht="23.4" customHeight="1">
      <c r="A6" s="275" t="s">
        <v>94</v>
      </c>
      <c r="B6" s="105">
        <v>0.8</v>
      </c>
      <c r="C6" s="236" t="s">
        <v>379</v>
      </c>
    </row>
    <row r="7" spans="1:3" ht="23.4" customHeight="1">
      <c r="A7" s="276" t="s">
        <v>18</v>
      </c>
      <c r="B7" s="103">
        <v>0.15</v>
      </c>
      <c r="C7" s="236" t="s">
        <v>430</v>
      </c>
    </row>
    <row r="8" spans="1:3" ht="23.4" customHeight="1">
      <c r="A8" s="276" t="s">
        <v>50</v>
      </c>
      <c r="B8" s="103">
        <v>0.15</v>
      </c>
      <c r="C8" s="236" t="s">
        <v>524</v>
      </c>
    </row>
    <row r="9" spans="1:3" ht="39.75" customHeight="1">
      <c r="A9" s="285"/>
      <c r="B9" s="103">
        <v>1</v>
      </c>
      <c r="C9" s="236" t="s">
        <v>310</v>
      </c>
    </row>
    <row r="10" spans="1:3" s="67" customFormat="1" ht="23.4" customHeight="1">
      <c r="A10" s="275" t="s">
        <v>10</v>
      </c>
      <c r="B10" s="103">
        <v>0.5</v>
      </c>
      <c r="C10" s="279" t="s">
        <v>297</v>
      </c>
    </row>
    <row r="11" spans="1:3" ht="23.4" customHeight="1">
      <c r="A11" s="276" t="s">
        <v>2</v>
      </c>
      <c r="B11" s="103">
        <v>0.5</v>
      </c>
      <c r="C11" s="236" t="s">
        <v>386</v>
      </c>
    </row>
    <row r="12" spans="1:3" ht="23.4" customHeight="1">
      <c r="A12" s="276" t="s">
        <v>51</v>
      </c>
      <c r="B12" s="103">
        <v>0.5</v>
      </c>
      <c r="C12" s="236" t="s">
        <v>311</v>
      </c>
    </row>
    <row r="13" spans="1:3" ht="23.4" customHeight="1">
      <c r="A13" s="276" t="s">
        <v>116</v>
      </c>
      <c r="B13" s="103">
        <v>0.5</v>
      </c>
      <c r="C13" s="236" t="s">
        <v>312</v>
      </c>
    </row>
    <row r="14" spans="1:3" s="63" customFormat="1" ht="23.4" customHeight="1">
      <c r="A14" s="275" t="s">
        <v>19</v>
      </c>
      <c r="B14" s="106">
        <v>0</v>
      </c>
      <c r="C14" s="236" t="s">
        <v>251</v>
      </c>
    </row>
    <row r="15" spans="1:3" ht="23.4" customHeight="1">
      <c r="A15" s="273" t="s">
        <v>69</v>
      </c>
      <c r="B15" s="286">
        <v>2.75</v>
      </c>
      <c r="C15" s="236" t="s">
        <v>471</v>
      </c>
    </row>
    <row r="16" spans="1:3" s="63" customFormat="1" ht="23.4" customHeight="1">
      <c r="A16" s="275" t="s">
        <v>39</v>
      </c>
      <c r="B16" s="107">
        <v>10</v>
      </c>
      <c r="C16" s="279" t="s">
        <v>41</v>
      </c>
    </row>
    <row r="17" spans="1:3" s="63" customFormat="1" ht="23.4" customHeight="1">
      <c r="A17" s="273" t="s">
        <v>40</v>
      </c>
      <c r="B17" s="107">
        <v>4</v>
      </c>
      <c r="C17" s="279" t="s">
        <v>42</v>
      </c>
    </row>
    <row r="18" spans="1:3" s="63" customFormat="1" ht="21.65" hidden="1" customHeight="1">
      <c r="A18" s="273" t="s">
        <v>125</v>
      </c>
      <c r="B18" s="287">
        <v>76.02575132480743</v>
      </c>
      <c r="C18" s="236" t="s">
        <v>130</v>
      </c>
    </row>
    <row r="19" spans="1:3" ht="20" hidden="1" customHeight="1">
      <c r="A19" s="275" t="s">
        <v>86</v>
      </c>
      <c r="B19" s="72">
        <f>IF(B5=2,TINV(B4,B18-B14-1),TINV(B4*2,B18-B14-1))</f>
        <v>1.9921021540022406</v>
      </c>
      <c r="C19" s="236" t="s">
        <v>62</v>
      </c>
    </row>
    <row r="20" spans="1:3" ht="20" hidden="1" customHeight="1">
      <c r="A20" s="275" t="s">
        <v>87</v>
      </c>
      <c r="B20" s="72">
        <f>IF(B6&gt;=0.5,TINV((1-B6)*2,B18-B14-1),TINV(B6*2,B18-B14-1))</f>
        <v>0.84644006754647172</v>
      </c>
      <c r="C20" s="236" t="s">
        <v>63</v>
      </c>
    </row>
    <row r="21" spans="1:3" s="63" customFormat="1" ht="18.649999999999999" hidden="1" customHeight="1">
      <c r="A21" s="275" t="s">
        <v>89</v>
      </c>
      <c r="B21" s="72">
        <f>IF(B6&gt;=0.5,(B19+B20),(B19-B20))</f>
        <v>2.8385422215487122</v>
      </c>
      <c r="C21" s="236" t="s">
        <v>109</v>
      </c>
    </row>
    <row r="22" spans="1:3" ht="23.4" customHeight="1">
      <c r="A22" s="275" t="s">
        <v>88</v>
      </c>
      <c r="B22" s="72">
        <f>IF(B6&gt;=0.5,(IF(B5=2,TINV(B4,B23-B14-1),TINV(B4*2,B23-B14-1))+IF(B6&gt;=0.5,TINV((1-B6)*2,B23-B14-1),TINV(B6*2,B23-B14-1))),(IF(B5=2,TINV(B4,B23-B14-1),TINV(B4*2,B23-B14-1))-IF(B6&gt;=0.5,TINV((1-B6)*2,B23-B14-1),TINV(B6*2,B23-B14-1))))</f>
        <v>2.8385422215487122</v>
      </c>
      <c r="C22" s="236" t="s">
        <v>521</v>
      </c>
    </row>
    <row r="23" spans="1:3" ht="23.4" customHeight="1" thickBot="1">
      <c r="A23" s="282" t="s">
        <v>126</v>
      </c>
      <c r="B23" s="288">
        <v>76.099999999999994</v>
      </c>
      <c r="C23" s="283" t="s">
        <v>388</v>
      </c>
    </row>
    <row r="24" spans="1:3" ht="46.75" customHeight="1">
      <c r="A24" s="75"/>
    </row>
    <row r="25" spans="1:3" ht="6.65" customHeight="1"/>
    <row r="26" spans="1:3" ht="23.4" customHeight="1">
      <c r="A26" s="258"/>
      <c r="B26" s="206">
        <v>0.8</v>
      </c>
      <c r="C26" s="259" t="s">
        <v>84</v>
      </c>
    </row>
    <row r="27" spans="1:3" ht="23.4" customHeight="1">
      <c r="A27" s="253" t="s">
        <v>85</v>
      </c>
      <c r="B27" s="260">
        <f>1/(1-B26^2)</f>
        <v>2.7777777777777786</v>
      </c>
      <c r="C27" s="254"/>
    </row>
    <row r="28" spans="1:3" ht="12" customHeight="1"/>
    <row r="29" spans="1:3" ht="18.75" customHeight="1">
      <c r="A29" s="340" t="s">
        <v>138</v>
      </c>
      <c r="B29" s="340"/>
      <c r="C29" s="340"/>
    </row>
  </sheetData>
  <mergeCells count="2">
    <mergeCell ref="A1:C1"/>
    <mergeCell ref="A29:C29"/>
  </mergeCells>
  <phoneticPr fontId="9" type="noConversion"/>
  <printOptions horizontalCentered="1"/>
  <pageMargins left="1" right="1" top="1" bottom="1" header="0.5" footer="0.5"/>
  <pageSetup scale="54" fitToHeight="6" orientation="portrait" r:id="rId1"/>
  <headerFooter>
    <oddFooter>&amp;L&amp;F&amp;A&amp;RPrinted:  &amp;D</oddFooter>
  </headerFooter>
  <drawing r:id="rId2"/>
  <legacyDrawing r:id="rId3"/>
  <oleObjects>
    <mc:AlternateContent xmlns:mc="http://schemas.openxmlformats.org/markup-compatibility/2006">
      <mc:Choice Requires="x14">
        <oleObject progId="Equation.3" shapeId="150529" r:id="rId4">
          <objectPr defaultSize="0" autoPict="0" r:id="rId5">
            <anchor moveWithCells="1">
              <from>
                <xdr:col>0</xdr:col>
                <xdr:colOff>0</xdr:colOff>
                <xdr:row>8</xdr:row>
                <xdr:rowOff>44450</xdr:rowOff>
              </from>
              <to>
                <xdr:col>0</xdr:col>
                <xdr:colOff>501650</xdr:colOff>
                <xdr:row>8</xdr:row>
                <xdr:rowOff>374650</xdr:rowOff>
              </to>
            </anchor>
          </objectPr>
        </oleObject>
      </mc:Choice>
      <mc:Fallback>
        <oleObject progId="Equation.3" shapeId="150529" r:id="rId4"/>
      </mc:Fallback>
    </mc:AlternateContent>
    <mc:AlternateContent xmlns:mc="http://schemas.openxmlformats.org/markup-compatibility/2006">
      <mc:Choice Requires="x14">
        <oleObject progId="Equation.3" shapeId="150531" r:id="rId6">
          <objectPr defaultSize="0" autoPict="0" r:id="rId7">
            <anchor moveWithCells="1" sizeWithCells="1">
              <from>
                <xdr:col>0</xdr:col>
                <xdr:colOff>0</xdr:colOff>
                <xdr:row>25</xdr:row>
                <xdr:rowOff>44450</xdr:rowOff>
              </from>
              <to>
                <xdr:col>0</xdr:col>
                <xdr:colOff>463550</xdr:colOff>
                <xdr:row>25</xdr:row>
                <xdr:rowOff>273050</xdr:rowOff>
              </to>
            </anchor>
          </objectPr>
        </oleObject>
      </mc:Choice>
      <mc:Fallback>
        <oleObject progId="Equation.3" shapeId="150531" r:id="rId6"/>
      </mc:Fallback>
    </mc:AlternateContent>
    <mc:AlternateContent xmlns:mc="http://schemas.openxmlformats.org/markup-compatibility/2006">
      <mc:Choice Requires="x14">
        <oleObject progId="Equation.3" shapeId="150533" r:id="rId8">
          <objectPr defaultSize="0" autoPict="0" r:id="rId9">
            <anchor moveWithCells="1" sizeWithCells="1">
              <from>
                <xdr:col>2</xdr:col>
                <xdr:colOff>2508250</xdr:colOff>
                <xdr:row>8</xdr:row>
                <xdr:rowOff>260350</xdr:rowOff>
              </from>
              <to>
                <xdr:col>2</xdr:col>
                <xdr:colOff>3117850</xdr:colOff>
                <xdr:row>8</xdr:row>
                <xdr:rowOff>482600</xdr:rowOff>
              </to>
            </anchor>
          </objectPr>
        </oleObject>
      </mc:Choice>
      <mc:Fallback>
        <oleObject progId="Equation.3" shapeId="150533" r:id="rId8"/>
      </mc:Fallback>
    </mc:AlternateContent>
  </oleObjects>
  <mc:AlternateContent xmlns:mc="http://schemas.openxmlformats.org/markup-compatibility/2006">
    <mc:Choice Requires="x14">
      <controls>
        <mc:AlternateContent xmlns:mc="http://schemas.openxmlformats.org/markup-compatibility/2006">
          <mc:Choice Requires="x14">
            <control shapeId="150534" r:id="rId10" name="Button 6">
              <controlPr defaultSize="0" print="0" autoFill="0" autoPict="0" macro="[0]!N_RD5">
                <anchor moveWithCells="1" sizeWithCells="1">
                  <from>
                    <xdr:col>1</xdr:col>
                    <xdr:colOff>0</xdr:colOff>
                    <xdr:row>23</xdr:row>
                    <xdr:rowOff>114300</xdr:rowOff>
                  </from>
                  <to>
                    <xdr:col>1</xdr:col>
                    <xdr:colOff>889000</xdr:colOff>
                    <xdr:row>23</xdr:row>
                    <xdr:rowOff>457200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9">
    <tabColor rgb="FFFFC000"/>
    <pageSetUpPr fitToPage="1"/>
  </sheetPr>
  <dimension ref="A1:C23"/>
  <sheetViews>
    <sheetView showGridLines="0" zoomScale="80" zoomScaleNormal="80" workbookViewId="0">
      <selection activeCell="B19" sqref="B19"/>
    </sheetView>
  </sheetViews>
  <sheetFormatPr defaultColWidth="9.08984375" defaultRowHeight="18"/>
  <cols>
    <col min="1" max="1" width="60.453125" style="10" customWidth="1"/>
    <col min="2" max="2" width="13.6328125" style="73" customWidth="1"/>
    <col min="3" max="3" width="102.54296875" style="10" customWidth="1"/>
    <col min="4" max="16384" width="9.08984375" style="10"/>
  </cols>
  <sheetData>
    <row r="1" spans="1:3" ht="37.75" customHeight="1">
      <c r="A1" s="330" t="s">
        <v>387</v>
      </c>
      <c r="B1" s="331"/>
      <c r="C1" s="332"/>
    </row>
    <row r="2" spans="1:3" ht="25.75" customHeight="1">
      <c r="A2" s="110" t="s">
        <v>0</v>
      </c>
      <c r="B2" s="74"/>
      <c r="C2" s="126" t="s">
        <v>1</v>
      </c>
    </row>
    <row r="3" spans="1:3" ht="25.75" customHeight="1">
      <c r="A3" s="111" t="s">
        <v>76</v>
      </c>
      <c r="B3" s="99">
        <v>0.4</v>
      </c>
      <c r="C3" s="127" t="s">
        <v>96</v>
      </c>
    </row>
    <row r="4" spans="1:3" ht="25.75" customHeight="1">
      <c r="A4" s="112" t="s">
        <v>111</v>
      </c>
      <c r="B4" s="97">
        <v>0.05</v>
      </c>
      <c r="C4" s="127" t="s">
        <v>413</v>
      </c>
    </row>
    <row r="5" spans="1:3" ht="25.75" customHeight="1">
      <c r="A5" s="113" t="s">
        <v>36</v>
      </c>
      <c r="B5" s="97">
        <v>1</v>
      </c>
      <c r="C5" s="237"/>
    </row>
    <row r="6" spans="1:3" ht="25.75" customHeight="1">
      <c r="A6" s="113" t="s">
        <v>94</v>
      </c>
      <c r="B6" s="98">
        <v>0.8</v>
      </c>
      <c r="C6" s="127" t="s">
        <v>294</v>
      </c>
    </row>
    <row r="7" spans="1:3" s="67" customFormat="1" ht="25.75" customHeight="1">
      <c r="A7" s="111" t="s">
        <v>4</v>
      </c>
      <c r="B7" s="99">
        <v>0.03</v>
      </c>
      <c r="C7" s="127" t="s">
        <v>418</v>
      </c>
    </row>
    <row r="8" spans="1:3" s="67" customFormat="1" ht="25.75" customHeight="1">
      <c r="A8" s="111" t="s">
        <v>317</v>
      </c>
      <c r="B8" s="266">
        <v>5</v>
      </c>
      <c r="C8" s="127" t="s">
        <v>318</v>
      </c>
    </row>
    <row r="9" spans="1:3" ht="25.75" customHeight="1">
      <c r="A9" s="113" t="s">
        <v>39</v>
      </c>
      <c r="B9" s="101">
        <v>75</v>
      </c>
      <c r="C9" s="129" t="s">
        <v>46</v>
      </c>
    </row>
    <row r="10" spans="1:3" ht="25.75" customHeight="1">
      <c r="A10" s="114" t="s">
        <v>51</v>
      </c>
      <c r="B10" s="99">
        <v>0</v>
      </c>
      <c r="C10" s="127" t="s">
        <v>313</v>
      </c>
    </row>
    <row r="11" spans="1:3" ht="25.75" customHeight="1">
      <c r="A11" s="113" t="s">
        <v>35</v>
      </c>
      <c r="B11" s="266">
        <v>2</v>
      </c>
      <c r="C11" s="127" t="s">
        <v>314</v>
      </c>
    </row>
    <row r="12" spans="1:3" ht="25.75" customHeight="1">
      <c r="A12" s="114" t="s">
        <v>5</v>
      </c>
      <c r="B12" s="266">
        <v>0</v>
      </c>
      <c r="C12" s="127" t="s">
        <v>315</v>
      </c>
    </row>
    <row r="13" spans="1:3" ht="25.75" customHeight="1">
      <c r="A13" s="113" t="s">
        <v>485</v>
      </c>
      <c r="B13" s="266">
        <v>2</v>
      </c>
      <c r="C13" s="127" t="s">
        <v>316</v>
      </c>
    </row>
    <row r="14" spans="1:3" ht="18" hidden="1" customHeight="1">
      <c r="A14" s="111" t="s">
        <v>136</v>
      </c>
      <c r="B14" s="265">
        <v>9.8479418884850176</v>
      </c>
      <c r="C14" s="127" t="s">
        <v>134</v>
      </c>
    </row>
    <row r="15" spans="1:3" ht="20.399999999999999" hidden="1" customHeight="1">
      <c r="A15" s="113" t="s">
        <v>86</v>
      </c>
      <c r="B15" s="78">
        <f>IF(B5=2,TINV(B4,B14*B8-B12-1),TINV(B4*2,B14*B8-B12-1))</f>
        <v>1.6772241961243386</v>
      </c>
      <c r="C15" s="127" t="s">
        <v>72</v>
      </c>
    </row>
    <row r="16" spans="1:3" ht="20.399999999999999" hidden="1" customHeight="1">
      <c r="A16" s="113" t="s">
        <v>87</v>
      </c>
      <c r="B16" s="78">
        <f>TINV((1-B6)*2,B14*B8-B12-1)</f>
        <v>0.84917381998688257</v>
      </c>
      <c r="C16" s="128" t="s">
        <v>73</v>
      </c>
    </row>
    <row r="17" spans="1:3" ht="18" hidden="1" customHeight="1">
      <c r="A17" s="113" t="s">
        <v>89</v>
      </c>
      <c r="B17" s="78">
        <f>B15+B16</f>
        <v>2.5263980161112212</v>
      </c>
      <c r="C17" s="127" t="s">
        <v>135</v>
      </c>
    </row>
    <row r="18" spans="1:3" ht="25.75" customHeight="1">
      <c r="A18" s="113" t="s">
        <v>88</v>
      </c>
      <c r="B18" s="78">
        <f>IF(B5=2,TINV(B4,B19*B8-B12-1),TINV(B4*2,B19*B8-B12-1))+TINV((1-B6)*2,B19*B8-B12-1)</f>
        <v>2.5272626339861533</v>
      </c>
      <c r="C18" s="127" t="s">
        <v>521</v>
      </c>
    </row>
    <row r="19" spans="1:3" ht="25.75" customHeight="1">
      <c r="A19" s="267" t="s">
        <v>527</v>
      </c>
      <c r="B19" s="268">
        <v>9.7999999999999989</v>
      </c>
      <c r="C19" s="269" t="s">
        <v>529</v>
      </c>
    </row>
    <row r="20" spans="1:3" ht="25.75" customHeight="1" thickBot="1">
      <c r="A20" s="270" t="s">
        <v>528</v>
      </c>
      <c r="B20" s="272">
        <f>ROUNDUP(B19*(1+B13),0)</f>
        <v>30</v>
      </c>
      <c r="C20" s="271" t="s">
        <v>530</v>
      </c>
    </row>
    <row r="21" spans="1:3" ht="51.65" customHeight="1"/>
    <row r="22" spans="1:3" ht="6.75" customHeight="1">
      <c r="A22" s="34"/>
    </row>
    <row r="23" spans="1:3" ht="37.25" customHeight="1">
      <c r="A23" s="340" t="s">
        <v>526</v>
      </c>
      <c r="B23" s="340"/>
      <c r="C23" s="340"/>
    </row>
  </sheetData>
  <mergeCells count="2">
    <mergeCell ref="A1:C1"/>
    <mergeCell ref="A23:C23"/>
  </mergeCells>
  <phoneticPr fontId="9" type="noConversion"/>
  <printOptions horizontalCentered="1"/>
  <pageMargins left="1" right="1" top="1" bottom="1" header="0.5" footer="0.5"/>
  <pageSetup scale="53" fitToHeight="6" orientation="portrait" r:id="rId1"/>
  <headerFooter>
    <oddFooter>&amp;L&amp;F&amp;A&amp;RPrinted: &amp;D</oddFooter>
  </headerFooter>
  <ignoredErrors>
    <ignoredError sqref="B2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05" r:id="rId4" name="Button 5">
              <controlPr defaultSize="0" print="0" autoFill="0" autoPict="0" macro="[0]!N_ITS">
                <anchor moveWithCells="1" sizeWithCells="1">
                  <from>
                    <xdr:col>0</xdr:col>
                    <xdr:colOff>4127500</xdr:colOff>
                    <xdr:row>20</xdr:row>
                    <xdr:rowOff>139700</xdr:rowOff>
                  </from>
                  <to>
                    <xdr:col>1</xdr:col>
                    <xdr:colOff>876300</xdr:colOff>
                    <xdr:row>20</xdr:row>
                    <xdr:rowOff>482600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tabColor theme="5" tint="-0.249977111117893"/>
    <pageSetUpPr fitToPage="1"/>
  </sheetPr>
  <dimension ref="A1:I20"/>
  <sheetViews>
    <sheetView showGridLines="0" zoomScaleNormal="100" workbookViewId="0">
      <selection activeCell="D6" sqref="D6"/>
    </sheetView>
  </sheetViews>
  <sheetFormatPr defaultColWidth="9.08984375" defaultRowHeight="17.5"/>
  <cols>
    <col min="1" max="8" width="9.08984375" style="81"/>
    <col min="9" max="9" width="16.54296875" style="81" customWidth="1"/>
    <col min="10" max="16384" width="9.08984375" style="81"/>
  </cols>
  <sheetData>
    <row r="1" spans="1:9" ht="18">
      <c r="A1" s="341" t="s">
        <v>65</v>
      </c>
      <c r="B1" s="341"/>
      <c r="C1" s="341"/>
      <c r="D1" s="341"/>
      <c r="E1" s="341"/>
      <c r="F1" s="341"/>
      <c r="G1" s="341"/>
      <c r="H1" s="341"/>
      <c r="I1" s="341"/>
    </row>
    <row r="2" spans="1:9" ht="60" customHeight="1">
      <c r="A2" s="342" t="s">
        <v>319</v>
      </c>
      <c r="B2" s="342"/>
      <c r="C2" s="342"/>
      <c r="D2" s="342"/>
      <c r="E2" s="342"/>
      <c r="F2" s="342"/>
      <c r="G2" s="342"/>
      <c r="H2" s="342"/>
      <c r="I2" s="342"/>
    </row>
    <row r="3" spans="1:9" ht="79.5" customHeight="1">
      <c r="A3" s="342" t="s">
        <v>335</v>
      </c>
      <c r="B3" s="342"/>
      <c r="C3" s="342"/>
      <c r="D3" s="342"/>
      <c r="E3" s="342"/>
      <c r="F3" s="342"/>
      <c r="G3" s="342"/>
      <c r="H3" s="342"/>
      <c r="I3" s="342"/>
    </row>
    <row r="4" spans="1:9">
      <c r="A4" s="81" t="s">
        <v>66</v>
      </c>
    </row>
    <row r="5" spans="1:9" ht="20.5">
      <c r="A5" s="82"/>
      <c r="B5" s="81" t="s">
        <v>320</v>
      </c>
    </row>
    <row r="6" spans="1:9" ht="20.5">
      <c r="A6" s="82"/>
      <c r="B6" s="81" t="s">
        <v>321</v>
      </c>
    </row>
    <row r="7" spans="1:9" ht="20.5">
      <c r="A7" s="82"/>
      <c r="B7" s="81" t="s">
        <v>322</v>
      </c>
    </row>
    <row r="8" spans="1:9" ht="20.5">
      <c r="A8" s="82"/>
      <c r="B8" s="81" t="s">
        <v>323</v>
      </c>
    </row>
    <row r="9" spans="1:9" ht="20.5">
      <c r="A9" s="82"/>
      <c r="B9" s="81" t="s">
        <v>324</v>
      </c>
    </row>
    <row r="10" spans="1:9" ht="20.5">
      <c r="A10" s="82"/>
      <c r="B10" s="81" t="s">
        <v>325</v>
      </c>
    </row>
    <row r="11" spans="1:9" ht="20.5">
      <c r="A11" s="82"/>
      <c r="B11" s="81" t="s">
        <v>326</v>
      </c>
    </row>
    <row r="12" spans="1:9" ht="20.5">
      <c r="A12" s="82"/>
      <c r="B12" s="81" t="s">
        <v>327</v>
      </c>
    </row>
    <row r="13" spans="1:9" ht="20.5">
      <c r="A13" s="82"/>
      <c r="B13" s="81" t="s">
        <v>328</v>
      </c>
    </row>
    <row r="14" spans="1:9" ht="20.5">
      <c r="A14" s="82"/>
      <c r="B14" s="81" t="s">
        <v>329</v>
      </c>
    </row>
    <row r="15" spans="1:9" ht="20.5">
      <c r="A15" s="82"/>
      <c r="B15" s="81" t="s">
        <v>330</v>
      </c>
    </row>
    <row r="16" spans="1:9" ht="20.5">
      <c r="A16" s="82"/>
      <c r="B16" s="81" t="s">
        <v>331</v>
      </c>
    </row>
    <row r="17" spans="1:2" ht="20.5">
      <c r="A17" s="82"/>
      <c r="B17" s="81" t="s">
        <v>332</v>
      </c>
    </row>
    <row r="18" spans="1:2" ht="20.5">
      <c r="A18" s="82"/>
      <c r="B18" s="81" t="s">
        <v>333</v>
      </c>
    </row>
    <row r="19" spans="1:2" ht="21" thickBot="1">
      <c r="A19" s="83"/>
      <c r="B19" s="81" t="s">
        <v>334</v>
      </c>
    </row>
    <row r="20" spans="1:2" ht="26.25" customHeight="1" thickBot="1">
      <c r="A20" s="84" t="e">
        <f>HARMEAN(A5:A19)</f>
        <v>#N/A</v>
      </c>
      <c r="B20" s="81" t="s">
        <v>67</v>
      </c>
    </row>
  </sheetData>
  <mergeCells count="3">
    <mergeCell ref="A1:I1"/>
    <mergeCell ref="A2:I2"/>
    <mergeCell ref="A3:I3"/>
  </mergeCells>
  <phoneticPr fontId="15" type="noConversion"/>
  <printOptions horizontalCentered="1"/>
  <pageMargins left="1" right="1" top="1" bottom="1" header="0.3" footer="0.3"/>
  <pageSetup scale="94" orientation="portrait" horizontalDpi="4294967293" verticalDpi="4294967293"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6"/>
  <dimension ref="A1:A30"/>
  <sheetViews>
    <sheetView showGridLines="0" topLeftCell="A22" workbookViewId="0"/>
  </sheetViews>
  <sheetFormatPr defaultColWidth="101.54296875" defaultRowHeight="14.5"/>
  <cols>
    <col min="1" max="1" width="133.81640625" style="91" customWidth="1"/>
    <col min="2" max="16384" width="101.54296875" style="91"/>
  </cols>
  <sheetData>
    <row r="1" spans="1:1" ht="18">
      <c r="A1" s="93" t="s">
        <v>534</v>
      </c>
    </row>
    <row r="2" spans="1:1">
      <c r="A2" s="92" t="s">
        <v>190</v>
      </c>
    </row>
    <row r="3" spans="1:1">
      <c r="A3" s="92" t="s">
        <v>185</v>
      </c>
    </row>
    <row r="4" spans="1:1" ht="29">
      <c r="A4" s="92" t="s">
        <v>191</v>
      </c>
    </row>
    <row r="5" spans="1:1" ht="29">
      <c r="A5" s="92" t="s">
        <v>192</v>
      </c>
    </row>
    <row r="6" spans="1:1" ht="29">
      <c r="A6" s="91" t="s">
        <v>186</v>
      </c>
    </row>
    <row r="7" spans="1:1">
      <c r="A7" s="91" t="s">
        <v>187</v>
      </c>
    </row>
    <row r="8" spans="1:1" ht="29">
      <c r="A8" s="91" t="s">
        <v>193</v>
      </c>
    </row>
    <row r="9" spans="1:1" ht="29">
      <c r="A9" s="91" t="s">
        <v>274</v>
      </c>
    </row>
    <row r="10" spans="1:1" ht="43.5">
      <c r="A10" s="91" t="s">
        <v>275</v>
      </c>
    </row>
    <row r="11" spans="1:1" ht="29">
      <c r="A11" s="92" t="s">
        <v>194</v>
      </c>
    </row>
    <row r="12" spans="1:1" ht="29">
      <c r="A12" s="92" t="s">
        <v>531</v>
      </c>
    </row>
    <row r="13" spans="1:1" ht="29">
      <c r="A13" s="92" t="s">
        <v>188</v>
      </c>
    </row>
    <row r="14" spans="1:1">
      <c r="A14" s="91" t="s">
        <v>195</v>
      </c>
    </row>
    <row r="15" spans="1:1">
      <c r="A15" s="91" t="s">
        <v>532</v>
      </c>
    </row>
    <row r="16" spans="1:1" ht="29">
      <c r="A16" s="92" t="s">
        <v>196</v>
      </c>
    </row>
    <row r="17" spans="1:1" ht="29">
      <c r="A17" s="91" t="s">
        <v>81</v>
      </c>
    </row>
    <row r="18" spans="1:1" ht="29">
      <c r="A18" s="92" t="s">
        <v>189</v>
      </c>
    </row>
    <row r="19" spans="1:1">
      <c r="A19" s="92" t="s">
        <v>197</v>
      </c>
    </row>
    <row r="20" spans="1:1">
      <c r="A20" s="92" t="s">
        <v>198</v>
      </c>
    </row>
    <row r="21" spans="1:1" ht="29">
      <c r="A21" s="92" t="s">
        <v>199</v>
      </c>
    </row>
    <row r="22" spans="1:1" ht="29">
      <c r="A22" s="92" t="s">
        <v>200</v>
      </c>
    </row>
    <row r="23" spans="1:1">
      <c r="A23" s="92" t="s">
        <v>201</v>
      </c>
    </row>
    <row r="24" spans="1:1">
      <c r="A24" s="91" t="s">
        <v>202</v>
      </c>
    </row>
    <row r="25" spans="1:1">
      <c r="A25" s="91" t="s">
        <v>203</v>
      </c>
    </row>
    <row r="26" spans="1:1">
      <c r="A26" s="91" t="s">
        <v>204</v>
      </c>
    </row>
    <row r="27" spans="1:1">
      <c r="A27" s="91" t="s">
        <v>205</v>
      </c>
    </row>
    <row r="28" spans="1:1" ht="29">
      <c r="A28" s="91" t="s">
        <v>206</v>
      </c>
    </row>
    <row r="29" spans="1:1" ht="29">
      <c r="A29" s="91" t="s">
        <v>207</v>
      </c>
    </row>
    <row r="30" spans="1:1" ht="29">
      <c r="A30" s="91" t="s">
        <v>533</v>
      </c>
    </row>
  </sheetData>
  <phoneticPr fontId="19" type="noConversion"/>
  <printOptions horizontalCentered="1"/>
  <pageMargins left="1" right="1" top="1" bottom="1" header="0.3" footer="0.3"/>
  <pageSetup orientation="portrait" r:id="rId1"/>
  <headerFooter>
    <oddFooter>&amp;L&amp;F&amp;RPrinted:  &amp;D</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
    <tabColor rgb="FF7030A0"/>
    <pageSetUpPr fitToPage="1"/>
  </sheetPr>
  <dimension ref="A1:K42"/>
  <sheetViews>
    <sheetView showGridLines="0" zoomScale="90" zoomScaleNormal="90" workbookViewId="0">
      <selection sqref="A1:K42"/>
    </sheetView>
  </sheetViews>
  <sheetFormatPr defaultColWidth="9.08984375" defaultRowHeight="12.5"/>
  <cols>
    <col min="1" max="11" width="13.6328125" customWidth="1"/>
  </cols>
  <sheetData>
    <row r="1" spans="1:11">
      <c r="A1" s="343" t="s">
        <v>336</v>
      </c>
      <c r="B1" s="344"/>
      <c r="C1" s="344"/>
      <c r="D1" s="344"/>
      <c r="E1" s="344"/>
      <c r="F1" s="344"/>
      <c r="G1" s="344"/>
      <c r="H1" s="344"/>
      <c r="I1" s="344"/>
      <c r="J1" s="344"/>
      <c r="K1" s="345"/>
    </row>
    <row r="2" spans="1:11">
      <c r="A2" s="346"/>
      <c r="B2" s="347"/>
      <c r="C2" s="347"/>
      <c r="D2" s="347"/>
      <c r="E2" s="347"/>
      <c r="F2" s="347"/>
      <c r="G2" s="347"/>
      <c r="H2" s="347"/>
      <c r="I2" s="347"/>
      <c r="J2" s="347"/>
      <c r="K2" s="348"/>
    </row>
    <row r="3" spans="1:11">
      <c r="A3" s="346"/>
      <c r="B3" s="347"/>
      <c r="C3" s="347"/>
      <c r="D3" s="347"/>
      <c r="E3" s="347"/>
      <c r="F3" s="347"/>
      <c r="G3" s="347"/>
      <c r="H3" s="347"/>
      <c r="I3" s="347"/>
      <c r="J3" s="347"/>
      <c r="K3" s="348"/>
    </row>
    <row r="4" spans="1:11">
      <c r="A4" s="346"/>
      <c r="B4" s="347"/>
      <c r="C4" s="347"/>
      <c r="D4" s="347"/>
      <c r="E4" s="347"/>
      <c r="F4" s="347"/>
      <c r="G4" s="347"/>
      <c r="H4" s="347"/>
      <c r="I4" s="347"/>
      <c r="J4" s="347"/>
      <c r="K4" s="348"/>
    </row>
    <row r="5" spans="1:11">
      <c r="A5" s="346"/>
      <c r="B5" s="347"/>
      <c r="C5" s="347"/>
      <c r="D5" s="347"/>
      <c r="E5" s="347"/>
      <c r="F5" s="347"/>
      <c r="G5" s="347"/>
      <c r="H5" s="347"/>
      <c r="I5" s="347"/>
      <c r="J5" s="347"/>
      <c r="K5" s="348"/>
    </row>
    <row r="6" spans="1:11">
      <c r="A6" s="346"/>
      <c r="B6" s="347"/>
      <c r="C6" s="347"/>
      <c r="D6" s="347"/>
      <c r="E6" s="347"/>
      <c r="F6" s="347"/>
      <c r="G6" s="347"/>
      <c r="H6" s="347"/>
      <c r="I6" s="347"/>
      <c r="J6" s="347"/>
      <c r="K6" s="348"/>
    </row>
    <row r="7" spans="1:11">
      <c r="A7" s="346"/>
      <c r="B7" s="347"/>
      <c r="C7" s="347"/>
      <c r="D7" s="347"/>
      <c r="E7" s="347"/>
      <c r="F7" s="347"/>
      <c r="G7" s="347"/>
      <c r="H7" s="347"/>
      <c r="I7" s="347"/>
      <c r="J7" s="347"/>
      <c r="K7" s="348"/>
    </row>
    <row r="8" spans="1:11">
      <c r="A8" s="346"/>
      <c r="B8" s="347"/>
      <c r="C8" s="347"/>
      <c r="D8" s="347"/>
      <c r="E8" s="347"/>
      <c r="F8" s="347"/>
      <c r="G8" s="347"/>
      <c r="H8" s="347"/>
      <c r="I8" s="347"/>
      <c r="J8" s="347"/>
      <c r="K8" s="348"/>
    </row>
    <row r="9" spans="1:11">
      <c r="A9" s="346"/>
      <c r="B9" s="347"/>
      <c r="C9" s="347"/>
      <c r="D9" s="347"/>
      <c r="E9" s="347"/>
      <c r="F9" s="347"/>
      <c r="G9" s="347"/>
      <c r="H9" s="347"/>
      <c r="I9" s="347"/>
      <c r="J9" s="347"/>
      <c r="K9" s="348"/>
    </row>
    <row r="10" spans="1:11">
      <c r="A10" s="346"/>
      <c r="B10" s="347"/>
      <c r="C10" s="347"/>
      <c r="D10" s="347"/>
      <c r="E10" s="347"/>
      <c r="F10" s="347"/>
      <c r="G10" s="347"/>
      <c r="H10" s="347"/>
      <c r="I10" s="347"/>
      <c r="J10" s="347"/>
      <c r="K10" s="348"/>
    </row>
    <row r="11" spans="1:11">
      <c r="A11" s="346"/>
      <c r="B11" s="347"/>
      <c r="C11" s="347"/>
      <c r="D11" s="347"/>
      <c r="E11" s="347"/>
      <c r="F11" s="347"/>
      <c r="G11" s="347"/>
      <c r="H11" s="347"/>
      <c r="I11" s="347"/>
      <c r="J11" s="347"/>
      <c r="K11" s="348"/>
    </row>
    <row r="12" spans="1:11">
      <c r="A12" s="346"/>
      <c r="B12" s="347"/>
      <c r="C12" s="347"/>
      <c r="D12" s="347"/>
      <c r="E12" s="347"/>
      <c r="F12" s="347"/>
      <c r="G12" s="347"/>
      <c r="H12" s="347"/>
      <c r="I12" s="347"/>
      <c r="J12" s="347"/>
      <c r="K12" s="348"/>
    </row>
    <row r="13" spans="1:11">
      <c r="A13" s="346"/>
      <c r="B13" s="347"/>
      <c r="C13" s="347"/>
      <c r="D13" s="347"/>
      <c r="E13" s="347"/>
      <c r="F13" s="347"/>
      <c r="G13" s="347"/>
      <c r="H13" s="347"/>
      <c r="I13" s="347"/>
      <c r="J13" s="347"/>
      <c r="K13" s="348"/>
    </row>
    <row r="14" spans="1:11">
      <c r="A14" s="346"/>
      <c r="B14" s="347"/>
      <c r="C14" s="347"/>
      <c r="D14" s="347"/>
      <c r="E14" s="347"/>
      <c r="F14" s="347"/>
      <c r="G14" s="347"/>
      <c r="H14" s="347"/>
      <c r="I14" s="347"/>
      <c r="J14" s="347"/>
      <c r="K14" s="348"/>
    </row>
    <row r="15" spans="1:11">
      <c r="A15" s="346"/>
      <c r="B15" s="347"/>
      <c r="C15" s="347"/>
      <c r="D15" s="347"/>
      <c r="E15" s="347"/>
      <c r="F15" s="347"/>
      <c r="G15" s="347"/>
      <c r="H15" s="347"/>
      <c r="I15" s="347"/>
      <c r="J15" s="347"/>
      <c r="K15" s="348"/>
    </row>
    <row r="16" spans="1:11">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6"/>
      <c r="B36" s="347"/>
      <c r="C36" s="347"/>
      <c r="D36" s="347"/>
      <c r="E36" s="347"/>
      <c r="F36" s="347"/>
      <c r="G36" s="347"/>
      <c r="H36" s="347"/>
      <c r="I36" s="347"/>
      <c r="J36" s="347"/>
      <c r="K36" s="348"/>
    </row>
    <row r="37" spans="1:11">
      <c r="A37" s="346"/>
      <c r="B37" s="347"/>
      <c r="C37" s="347"/>
      <c r="D37" s="347"/>
      <c r="E37" s="347"/>
      <c r="F37" s="347"/>
      <c r="G37" s="347"/>
      <c r="H37" s="347"/>
      <c r="I37" s="347"/>
      <c r="J37" s="347"/>
      <c r="K37" s="348"/>
    </row>
    <row r="38" spans="1:11">
      <c r="A38" s="346"/>
      <c r="B38" s="347"/>
      <c r="C38" s="347"/>
      <c r="D38" s="347"/>
      <c r="E38" s="347"/>
      <c r="F38" s="347"/>
      <c r="G38" s="347"/>
      <c r="H38" s="347"/>
      <c r="I38" s="347"/>
      <c r="J38" s="347"/>
      <c r="K38" s="348"/>
    </row>
    <row r="39" spans="1:11">
      <c r="A39" s="346"/>
      <c r="B39" s="347"/>
      <c r="C39" s="347"/>
      <c r="D39" s="347"/>
      <c r="E39" s="347"/>
      <c r="F39" s="347"/>
      <c r="G39" s="347"/>
      <c r="H39" s="347"/>
      <c r="I39" s="347"/>
      <c r="J39" s="347"/>
      <c r="K39" s="348"/>
    </row>
    <row r="40" spans="1:11">
      <c r="A40" s="346"/>
      <c r="B40" s="347"/>
      <c r="C40" s="347"/>
      <c r="D40" s="347"/>
      <c r="E40" s="347"/>
      <c r="F40" s="347"/>
      <c r="G40" s="347"/>
      <c r="H40" s="347"/>
      <c r="I40" s="347"/>
      <c r="J40" s="347"/>
      <c r="K40" s="348"/>
    </row>
    <row r="41" spans="1:11">
      <c r="A41" s="346"/>
      <c r="B41" s="347"/>
      <c r="C41" s="347"/>
      <c r="D41" s="347"/>
      <c r="E41" s="347"/>
      <c r="F41" s="347"/>
      <c r="G41" s="347"/>
      <c r="H41" s="347"/>
      <c r="I41" s="347"/>
      <c r="J41" s="347"/>
      <c r="K41" s="348"/>
    </row>
    <row r="42" spans="1:11">
      <c r="A42" s="349"/>
      <c r="B42" s="350"/>
      <c r="C42" s="350"/>
      <c r="D42" s="350"/>
      <c r="E42" s="350"/>
      <c r="F42" s="350"/>
      <c r="G42" s="350"/>
      <c r="H42" s="350"/>
      <c r="I42" s="350"/>
      <c r="J42" s="350"/>
      <c r="K42" s="351"/>
    </row>
  </sheetData>
  <sheetProtection selectLockedCells="1" selectUnlockedCells="1"/>
  <mergeCells count="1">
    <mergeCell ref="A1:K42"/>
  </mergeCells>
  <phoneticPr fontId="15" type="noConversion"/>
  <printOptions horizontalCentered="1"/>
  <pageMargins left="1" right="1" top="1" bottom="1" header="0.3" footer="0.3"/>
  <pageSetup scale="54" orientation="portrait" horizontalDpi="4294967293" verticalDpi="4294967293"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7">
    <tabColor rgb="FF7030A0"/>
    <pageSetUpPr fitToPage="1"/>
  </sheetPr>
  <dimension ref="A1:F42"/>
  <sheetViews>
    <sheetView showGridLines="0" zoomScale="90" zoomScaleNormal="90" workbookViewId="0">
      <selection sqref="A1:F42"/>
    </sheetView>
  </sheetViews>
  <sheetFormatPr defaultColWidth="9.08984375" defaultRowHeight="12.5"/>
  <cols>
    <col min="1" max="6" width="24.54296875" customWidth="1"/>
  </cols>
  <sheetData>
    <row r="1" spans="1:6">
      <c r="A1" s="352" t="s">
        <v>139</v>
      </c>
      <c r="B1" s="347"/>
      <c r="C1" s="347"/>
      <c r="D1" s="347"/>
      <c r="E1" s="347"/>
      <c r="F1" s="347"/>
    </row>
    <row r="2" spans="1:6">
      <c r="A2" s="347"/>
      <c r="B2" s="347"/>
      <c r="C2" s="347"/>
      <c r="D2" s="347"/>
      <c r="E2" s="347"/>
      <c r="F2" s="347"/>
    </row>
    <row r="3" spans="1:6">
      <c r="A3" s="347"/>
      <c r="B3" s="347"/>
      <c r="C3" s="347"/>
      <c r="D3" s="347"/>
      <c r="E3" s="347"/>
      <c r="F3" s="347"/>
    </row>
    <row r="4" spans="1:6">
      <c r="A4" s="347"/>
      <c r="B4" s="347"/>
      <c r="C4" s="347"/>
      <c r="D4" s="347"/>
      <c r="E4" s="347"/>
      <c r="F4" s="347"/>
    </row>
    <row r="5" spans="1:6">
      <c r="A5" s="347"/>
      <c r="B5" s="347"/>
      <c r="C5" s="347"/>
      <c r="D5" s="347"/>
      <c r="E5" s="347"/>
      <c r="F5" s="347"/>
    </row>
    <row r="6" spans="1:6">
      <c r="A6" s="347"/>
      <c r="B6" s="347"/>
      <c r="C6" s="347"/>
      <c r="D6" s="347"/>
      <c r="E6" s="347"/>
      <c r="F6" s="347"/>
    </row>
    <row r="7" spans="1:6">
      <c r="A7" s="347"/>
      <c r="B7" s="347"/>
      <c r="C7" s="347"/>
      <c r="D7" s="347"/>
      <c r="E7" s="347"/>
      <c r="F7" s="347"/>
    </row>
    <row r="8" spans="1:6">
      <c r="A8" s="347"/>
      <c r="B8" s="347"/>
      <c r="C8" s="347"/>
      <c r="D8" s="347"/>
      <c r="E8" s="347"/>
      <c r="F8" s="347"/>
    </row>
    <row r="9" spans="1:6">
      <c r="A9" s="347"/>
      <c r="B9" s="347"/>
      <c r="C9" s="347"/>
      <c r="D9" s="347"/>
      <c r="E9" s="347"/>
      <c r="F9" s="347"/>
    </row>
    <row r="10" spans="1:6">
      <c r="A10" s="347"/>
      <c r="B10" s="347"/>
      <c r="C10" s="347"/>
      <c r="D10" s="347"/>
      <c r="E10" s="347"/>
      <c r="F10" s="347"/>
    </row>
    <row r="11" spans="1:6">
      <c r="A11" s="347"/>
      <c r="B11" s="347"/>
      <c r="C11" s="347"/>
      <c r="D11" s="347"/>
      <c r="E11" s="347"/>
      <c r="F11" s="347"/>
    </row>
    <row r="12" spans="1:6">
      <c r="A12" s="347"/>
      <c r="B12" s="347"/>
      <c r="C12" s="347"/>
      <c r="D12" s="347"/>
      <c r="E12" s="347"/>
      <c r="F12" s="347"/>
    </row>
    <row r="13" spans="1:6">
      <c r="A13" s="347"/>
      <c r="B13" s="347"/>
      <c r="C13" s="347"/>
      <c r="D13" s="347"/>
      <c r="E13" s="347"/>
      <c r="F13" s="347"/>
    </row>
    <row r="14" spans="1:6">
      <c r="A14" s="347"/>
      <c r="B14" s="347"/>
      <c r="C14" s="347"/>
      <c r="D14" s="347"/>
      <c r="E14" s="347"/>
      <c r="F14" s="347"/>
    </row>
    <row r="15" spans="1:6">
      <c r="A15" s="347"/>
      <c r="B15" s="347"/>
      <c r="C15" s="347"/>
      <c r="D15" s="347"/>
      <c r="E15" s="347"/>
      <c r="F15" s="347"/>
    </row>
    <row r="16" spans="1:6">
      <c r="A16" s="347"/>
      <c r="B16" s="347"/>
      <c r="C16" s="347"/>
      <c r="D16" s="347"/>
      <c r="E16" s="347"/>
      <c r="F16" s="347"/>
    </row>
    <row r="17" spans="1:6">
      <c r="A17" s="347"/>
      <c r="B17" s="347"/>
      <c r="C17" s="347"/>
      <c r="D17" s="347"/>
      <c r="E17" s="347"/>
      <c r="F17" s="347"/>
    </row>
    <row r="18" spans="1:6">
      <c r="A18" s="347"/>
      <c r="B18" s="347"/>
      <c r="C18" s="347"/>
      <c r="D18" s="347"/>
      <c r="E18" s="347"/>
      <c r="F18" s="347"/>
    </row>
    <row r="19" spans="1:6">
      <c r="A19" s="347"/>
      <c r="B19" s="347"/>
      <c r="C19" s="347"/>
      <c r="D19" s="347"/>
      <c r="E19" s="347"/>
      <c r="F19" s="347"/>
    </row>
    <row r="20" spans="1:6">
      <c r="A20" s="347"/>
      <c r="B20" s="347"/>
      <c r="C20" s="347"/>
      <c r="D20" s="347"/>
      <c r="E20" s="347"/>
      <c r="F20" s="347"/>
    </row>
    <row r="21" spans="1:6">
      <c r="A21" s="347"/>
      <c r="B21" s="347"/>
      <c r="C21" s="347"/>
      <c r="D21" s="347"/>
      <c r="E21" s="347"/>
      <c r="F21" s="347"/>
    </row>
    <row r="22" spans="1:6">
      <c r="A22" s="347"/>
      <c r="B22" s="347"/>
      <c r="C22" s="347"/>
      <c r="D22" s="347"/>
      <c r="E22" s="347"/>
      <c r="F22" s="347"/>
    </row>
    <row r="23" spans="1:6">
      <c r="A23" s="347"/>
      <c r="B23" s="347"/>
      <c r="C23" s="347"/>
      <c r="D23" s="347"/>
      <c r="E23" s="347"/>
      <c r="F23" s="347"/>
    </row>
    <row r="24" spans="1:6">
      <c r="A24" s="347"/>
      <c r="B24" s="347"/>
      <c r="C24" s="347"/>
      <c r="D24" s="347"/>
      <c r="E24" s="347"/>
      <c r="F24" s="347"/>
    </row>
    <row r="25" spans="1:6">
      <c r="A25" s="347"/>
      <c r="B25" s="347"/>
      <c r="C25" s="347"/>
      <c r="D25" s="347"/>
      <c r="E25" s="347"/>
      <c r="F25" s="347"/>
    </row>
    <row r="26" spans="1:6">
      <c r="A26" s="347"/>
      <c r="B26" s="347"/>
      <c r="C26" s="347"/>
      <c r="D26" s="347"/>
      <c r="E26" s="347"/>
      <c r="F26" s="347"/>
    </row>
    <row r="27" spans="1:6">
      <c r="A27" s="347"/>
      <c r="B27" s="347"/>
      <c r="C27" s="347"/>
      <c r="D27" s="347"/>
      <c r="E27" s="347"/>
      <c r="F27" s="347"/>
    </row>
    <row r="28" spans="1:6">
      <c r="A28" s="347"/>
      <c r="B28" s="347"/>
      <c r="C28" s="347"/>
      <c r="D28" s="347"/>
      <c r="E28" s="347"/>
      <c r="F28" s="347"/>
    </row>
    <row r="29" spans="1:6">
      <c r="A29" s="347"/>
      <c r="B29" s="347"/>
      <c r="C29" s="347"/>
      <c r="D29" s="347"/>
      <c r="E29" s="347"/>
      <c r="F29" s="347"/>
    </row>
    <row r="30" spans="1:6">
      <c r="A30" s="347"/>
      <c r="B30" s="347"/>
      <c r="C30" s="347"/>
      <c r="D30" s="347"/>
      <c r="E30" s="347"/>
      <c r="F30" s="347"/>
    </row>
    <row r="31" spans="1:6">
      <c r="A31" s="347"/>
      <c r="B31" s="347"/>
      <c r="C31" s="347"/>
      <c r="D31" s="347"/>
      <c r="E31" s="347"/>
      <c r="F31" s="347"/>
    </row>
    <row r="32" spans="1:6">
      <c r="A32" s="347"/>
      <c r="B32" s="347"/>
      <c r="C32" s="347"/>
      <c r="D32" s="347"/>
      <c r="E32" s="347"/>
      <c r="F32" s="347"/>
    </row>
    <row r="33" spans="1:6">
      <c r="A33" s="347"/>
      <c r="B33" s="347"/>
      <c r="C33" s="347"/>
      <c r="D33" s="347"/>
      <c r="E33" s="347"/>
      <c r="F33" s="347"/>
    </row>
    <row r="34" spans="1:6">
      <c r="A34" s="347"/>
      <c r="B34" s="347"/>
      <c r="C34" s="347"/>
      <c r="D34" s="347"/>
      <c r="E34" s="347"/>
      <c r="F34" s="347"/>
    </row>
    <row r="35" spans="1:6">
      <c r="A35" s="347"/>
      <c r="B35" s="347"/>
      <c r="C35" s="347"/>
      <c r="D35" s="347"/>
      <c r="E35" s="347"/>
      <c r="F35" s="347"/>
    </row>
    <row r="36" spans="1:6">
      <c r="A36" s="347"/>
      <c r="B36" s="347"/>
      <c r="C36" s="347"/>
      <c r="D36" s="347"/>
      <c r="E36" s="347"/>
      <c r="F36" s="347"/>
    </row>
    <row r="37" spans="1:6">
      <c r="A37" s="347"/>
      <c r="B37" s="347"/>
      <c r="C37" s="347"/>
      <c r="D37" s="347"/>
      <c r="E37" s="347"/>
      <c r="F37" s="347"/>
    </row>
    <row r="38" spans="1:6">
      <c r="A38" s="347"/>
      <c r="B38" s="347"/>
      <c r="C38" s="347"/>
      <c r="D38" s="347"/>
      <c r="E38" s="347"/>
      <c r="F38" s="347"/>
    </row>
    <row r="39" spans="1:6">
      <c r="A39" s="347"/>
      <c r="B39" s="347"/>
      <c r="C39" s="347"/>
      <c r="D39" s="347"/>
      <c r="E39" s="347"/>
      <c r="F39" s="347"/>
    </row>
    <row r="40" spans="1:6">
      <c r="A40" s="347"/>
      <c r="B40" s="347"/>
      <c r="C40" s="347"/>
      <c r="D40" s="347"/>
      <c r="E40" s="347"/>
      <c r="F40" s="347"/>
    </row>
    <row r="41" spans="1:6">
      <c r="A41" s="347"/>
      <c r="B41" s="347"/>
      <c r="C41" s="347"/>
      <c r="D41" s="347"/>
      <c r="E41" s="347"/>
      <c r="F41" s="347"/>
    </row>
    <row r="42" spans="1:6">
      <c r="A42" s="347"/>
      <c r="B42" s="347"/>
      <c r="C42" s="347"/>
      <c r="D42" s="347"/>
      <c r="E42" s="347"/>
      <c r="F42" s="347"/>
    </row>
  </sheetData>
  <sheetProtection selectLockedCells="1" selectUnlockedCells="1"/>
  <mergeCells count="1">
    <mergeCell ref="A1:F42"/>
  </mergeCells>
  <phoneticPr fontId="9" type="noConversion"/>
  <printOptions horizontalCentered="1"/>
  <pageMargins left="1" right="1" top="1" bottom="1" header="0.3" footer="0.3"/>
  <pageSetup scale="56" orientation="portrait" horizontalDpi="4294967293" vertic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
    <tabColor rgb="FF7030A0"/>
    <pageSetUpPr fitToPage="1"/>
  </sheetPr>
  <dimension ref="A1:K37"/>
  <sheetViews>
    <sheetView showGridLines="0" zoomScale="90" zoomScaleNormal="90" workbookViewId="0">
      <selection sqref="A1:K37"/>
    </sheetView>
  </sheetViews>
  <sheetFormatPr defaultColWidth="9.08984375" defaultRowHeight="12.5"/>
  <cols>
    <col min="1" max="11" width="14.08984375" customWidth="1"/>
  </cols>
  <sheetData>
    <row r="1" spans="1:11">
      <c r="A1" s="343" t="s">
        <v>339</v>
      </c>
      <c r="B1" s="344"/>
      <c r="C1" s="344"/>
      <c r="D1" s="344"/>
      <c r="E1" s="344"/>
      <c r="F1" s="344"/>
      <c r="G1" s="344"/>
      <c r="H1" s="344"/>
      <c r="I1" s="344"/>
      <c r="J1" s="344"/>
      <c r="K1" s="345"/>
    </row>
    <row r="2" spans="1:11">
      <c r="A2" s="346"/>
      <c r="B2" s="347"/>
      <c r="C2" s="347"/>
      <c r="D2" s="347"/>
      <c r="E2" s="347"/>
      <c r="F2" s="347"/>
      <c r="G2" s="347"/>
      <c r="H2" s="347"/>
      <c r="I2" s="347"/>
      <c r="J2" s="347"/>
      <c r="K2" s="348"/>
    </row>
    <row r="3" spans="1:11">
      <c r="A3" s="346"/>
      <c r="B3" s="347"/>
      <c r="C3" s="347"/>
      <c r="D3" s="347"/>
      <c r="E3" s="347"/>
      <c r="F3" s="347"/>
      <c r="G3" s="347"/>
      <c r="H3" s="347"/>
      <c r="I3" s="347"/>
      <c r="J3" s="347"/>
      <c r="K3" s="348"/>
    </row>
    <row r="4" spans="1:11">
      <c r="A4" s="346"/>
      <c r="B4" s="347"/>
      <c r="C4" s="347"/>
      <c r="D4" s="347"/>
      <c r="E4" s="347"/>
      <c r="F4" s="347"/>
      <c r="G4" s="347"/>
      <c r="H4" s="347"/>
      <c r="I4" s="347"/>
      <c r="J4" s="347"/>
      <c r="K4" s="348"/>
    </row>
    <row r="5" spans="1:11">
      <c r="A5" s="346"/>
      <c r="B5" s="347"/>
      <c r="C5" s="347"/>
      <c r="D5" s="347"/>
      <c r="E5" s="347"/>
      <c r="F5" s="347"/>
      <c r="G5" s="347"/>
      <c r="H5" s="347"/>
      <c r="I5" s="347"/>
      <c r="J5" s="347"/>
      <c r="K5" s="348"/>
    </row>
    <row r="6" spans="1:11">
      <c r="A6" s="346"/>
      <c r="B6" s="347"/>
      <c r="C6" s="347"/>
      <c r="D6" s="347"/>
      <c r="E6" s="347"/>
      <c r="F6" s="347"/>
      <c r="G6" s="347"/>
      <c r="H6" s="347"/>
      <c r="I6" s="347"/>
      <c r="J6" s="347"/>
      <c r="K6" s="348"/>
    </row>
    <row r="7" spans="1:11">
      <c r="A7" s="346"/>
      <c r="B7" s="347"/>
      <c r="C7" s="347"/>
      <c r="D7" s="347"/>
      <c r="E7" s="347"/>
      <c r="F7" s="347"/>
      <c r="G7" s="347"/>
      <c r="H7" s="347"/>
      <c r="I7" s="347"/>
      <c r="J7" s="347"/>
      <c r="K7" s="348"/>
    </row>
    <row r="8" spans="1:11">
      <c r="A8" s="346"/>
      <c r="B8" s="347"/>
      <c r="C8" s="347"/>
      <c r="D8" s="347"/>
      <c r="E8" s="347"/>
      <c r="F8" s="347"/>
      <c r="G8" s="347"/>
      <c r="H8" s="347"/>
      <c r="I8" s="347"/>
      <c r="J8" s="347"/>
      <c r="K8" s="348"/>
    </row>
    <row r="9" spans="1:11">
      <c r="A9" s="346"/>
      <c r="B9" s="347"/>
      <c r="C9" s="347"/>
      <c r="D9" s="347"/>
      <c r="E9" s="347"/>
      <c r="F9" s="347"/>
      <c r="G9" s="347"/>
      <c r="H9" s="347"/>
      <c r="I9" s="347"/>
      <c r="J9" s="347"/>
      <c r="K9" s="348"/>
    </row>
    <row r="10" spans="1:11">
      <c r="A10" s="346"/>
      <c r="B10" s="347"/>
      <c r="C10" s="347"/>
      <c r="D10" s="347"/>
      <c r="E10" s="347"/>
      <c r="F10" s="347"/>
      <c r="G10" s="347"/>
      <c r="H10" s="347"/>
      <c r="I10" s="347"/>
      <c r="J10" s="347"/>
      <c r="K10" s="348"/>
    </row>
    <row r="11" spans="1:11">
      <c r="A11" s="346"/>
      <c r="B11" s="347"/>
      <c r="C11" s="347"/>
      <c r="D11" s="347"/>
      <c r="E11" s="347"/>
      <c r="F11" s="347"/>
      <c r="G11" s="347"/>
      <c r="H11" s="347"/>
      <c r="I11" s="347"/>
      <c r="J11" s="347"/>
      <c r="K11" s="348"/>
    </row>
    <row r="12" spans="1:11">
      <c r="A12" s="346"/>
      <c r="B12" s="347"/>
      <c r="C12" s="347"/>
      <c r="D12" s="347"/>
      <c r="E12" s="347"/>
      <c r="F12" s="347"/>
      <c r="G12" s="347"/>
      <c r="H12" s="347"/>
      <c r="I12" s="347"/>
      <c r="J12" s="347"/>
      <c r="K12" s="348"/>
    </row>
    <row r="13" spans="1:11">
      <c r="A13" s="346"/>
      <c r="B13" s="347"/>
      <c r="C13" s="347"/>
      <c r="D13" s="347"/>
      <c r="E13" s="347"/>
      <c r="F13" s="347"/>
      <c r="G13" s="347"/>
      <c r="H13" s="347"/>
      <c r="I13" s="347"/>
      <c r="J13" s="347"/>
      <c r="K13" s="348"/>
    </row>
    <row r="14" spans="1:11">
      <c r="A14" s="346"/>
      <c r="B14" s="347"/>
      <c r="C14" s="347"/>
      <c r="D14" s="347"/>
      <c r="E14" s="347"/>
      <c r="F14" s="347"/>
      <c r="G14" s="347"/>
      <c r="H14" s="347"/>
      <c r="I14" s="347"/>
      <c r="J14" s="347"/>
      <c r="K14" s="348"/>
    </row>
    <row r="15" spans="1:11">
      <c r="A15" s="346"/>
      <c r="B15" s="347"/>
      <c r="C15" s="347"/>
      <c r="D15" s="347"/>
      <c r="E15" s="347"/>
      <c r="F15" s="347"/>
      <c r="G15" s="347"/>
      <c r="H15" s="347"/>
      <c r="I15" s="347"/>
      <c r="J15" s="347"/>
      <c r="K15" s="348"/>
    </row>
    <row r="16" spans="1:11">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6"/>
      <c r="B36" s="347"/>
      <c r="C36" s="347"/>
      <c r="D36" s="347"/>
      <c r="E36" s="347"/>
      <c r="F36" s="347"/>
      <c r="G36" s="347"/>
      <c r="H36" s="347"/>
      <c r="I36" s="347"/>
      <c r="J36" s="347"/>
      <c r="K36" s="348"/>
    </row>
    <row r="37" spans="1:11">
      <c r="A37" s="349"/>
      <c r="B37" s="350"/>
      <c r="C37" s="350"/>
      <c r="D37" s="350"/>
      <c r="E37" s="350"/>
      <c r="F37" s="350"/>
      <c r="G37" s="350"/>
      <c r="H37" s="350"/>
      <c r="I37" s="350"/>
      <c r="J37" s="350"/>
      <c r="K37" s="351"/>
    </row>
  </sheetData>
  <mergeCells count="1">
    <mergeCell ref="A1:K37"/>
  </mergeCells>
  <phoneticPr fontId="15" type="noConversion"/>
  <pageMargins left="0.7" right="0.7" top="0.75" bottom="0.75" header="0.3" footer="0.3"/>
  <pageSetup scale="59" orientation="portrait" horizontalDpi="4294967293" verticalDpi="4294967293"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
    <tabColor rgb="FF7030A0"/>
    <pageSetUpPr fitToPage="1"/>
  </sheetPr>
  <dimension ref="A1:K37"/>
  <sheetViews>
    <sheetView showGridLines="0" zoomScale="90" zoomScaleNormal="90" workbookViewId="0">
      <selection sqref="A1:K37"/>
    </sheetView>
  </sheetViews>
  <sheetFormatPr defaultColWidth="9.08984375" defaultRowHeight="12.5"/>
  <cols>
    <col min="1" max="10" width="14.453125" customWidth="1"/>
    <col min="11" max="11" width="9.36328125" customWidth="1"/>
  </cols>
  <sheetData>
    <row r="1" spans="1:11">
      <c r="A1" s="343" t="s">
        <v>339</v>
      </c>
      <c r="B1" s="344"/>
      <c r="C1" s="344"/>
      <c r="D1" s="344"/>
      <c r="E1" s="344"/>
      <c r="F1" s="344"/>
      <c r="G1" s="344"/>
      <c r="H1" s="344"/>
      <c r="I1" s="344"/>
      <c r="J1" s="344"/>
      <c r="K1" s="345"/>
    </row>
    <row r="2" spans="1:11">
      <c r="A2" s="346"/>
      <c r="B2" s="347"/>
      <c r="C2" s="347"/>
      <c r="D2" s="347"/>
      <c r="E2" s="347"/>
      <c r="F2" s="347"/>
      <c r="G2" s="347"/>
      <c r="H2" s="347"/>
      <c r="I2" s="347"/>
      <c r="J2" s="347"/>
      <c r="K2" s="348"/>
    </row>
    <row r="3" spans="1:11">
      <c r="A3" s="346"/>
      <c r="B3" s="347"/>
      <c r="C3" s="347"/>
      <c r="D3" s="347"/>
      <c r="E3" s="347"/>
      <c r="F3" s="347"/>
      <c r="G3" s="347"/>
      <c r="H3" s="347"/>
      <c r="I3" s="347"/>
      <c r="J3" s="347"/>
      <c r="K3" s="348"/>
    </row>
    <row r="4" spans="1:11">
      <c r="A4" s="346"/>
      <c r="B4" s="347"/>
      <c r="C4" s="347"/>
      <c r="D4" s="347"/>
      <c r="E4" s="347"/>
      <c r="F4" s="347"/>
      <c r="G4" s="347"/>
      <c r="H4" s="347"/>
      <c r="I4" s="347"/>
      <c r="J4" s="347"/>
      <c r="K4" s="348"/>
    </row>
    <row r="5" spans="1:11">
      <c r="A5" s="346"/>
      <c r="B5" s="347"/>
      <c r="C5" s="347"/>
      <c r="D5" s="347"/>
      <c r="E5" s="347"/>
      <c r="F5" s="347"/>
      <c r="G5" s="347"/>
      <c r="H5" s="347"/>
      <c r="I5" s="347"/>
      <c r="J5" s="347"/>
      <c r="K5" s="348"/>
    </row>
    <row r="6" spans="1:11">
      <c r="A6" s="346"/>
      <c r="B6" s="347"/>
      <c r="C6" s="347"/>
      <c r="D6" s="347"/>
      <c r="E6" s="347"/>
      <c r="F6" s="347"/>
      <c r="G6" s="347"/>
      <c r="H6" s="347"/>
      <c r="I6" s="347"/>
      <c r="J6" s="347"/>
      <c r="K6" s="348"/>
    </row>
    <row r="7" spans="1:11">
      <c r="A7" s="346"/>
      <c r="B7" s="347"/>
      <c r="C7" s="347"/>
      <c r="D7" s="347"/>
      <c r="E7" s="347"/>
      <c r="F7" s="347"/>
      <c r="G7" s="347"/>
      <c r="H7" s="347"/>
      <c r="I7" s="347"/>
      <c r="J7" s="347"/>
      <c r="K7" s="348"/>
    </row>
    <row r="8" spans="1:11">
      <c r="A8" s="346"/>
      <c r="B8" s="347"/>
      <c r="C8" s="347"/>
      <c r="D8" s="347"/>
      <c r="E8" s="347"/>
      <c r="F8" s="347"/>
      <c r="G8" s="347"/>
      <c r="H8" s="347"/>
      <c r="I8" s="347"/>
      <c r="J8" s="347"/>
      <c r="K8" s="348"/>
    </row>
    <row r="9" spans="1:11">
      <c r="A9" s="346"/>
      <c r="B9" s="347"/>
      <c r="C9" s="347"/>
      <c r="D9" s="347"/>
      <c r="E9" s="347"/>
      <c r="F9" s="347"/>
      <c r="G9" s="347"/>
      <c r="H9" s="347"/>
      <c r="I9" s="347"/>
      <c r="J9" s="347"/>
      <c r="K9" s="348"/>
    </row>
    <row r="10" spans="1:11">
      <c r="A10" s="346"/>
      <c r="B10" s="347"/>
      <c r="C10" s="347"/>
      <c r="D10" s="347"/>
      <c r="E10" s="347"/>
      <c r="F10" s="347"/>
      <c r="G10" s="347"/>
      <c r="H10" s="347"/>
      <c r="I10" s="347"/>
      <c r="J10" s="347"/>
      <c r="K10" s="348"/>
    </row>
    <row r="11" spans="1:11">
      <c r="A11" s="346"/>
      <c r="B11" s="347"/>
      <c r="C11" s="347"/>
      <c r="D11" s="347"/>
      <c r="E11" s="347"/>
      <c r="F11" s="347"/>
      <c r="G11" s="347"/>
      <c r="H11" s="347"/>
      <c r="I11" s="347"/>
      <c r="J11" s="347"/>
      <c r="K11" s="348"/>
    </row>
    <row r="12" spans="1:11">
      <c r="A12" s="346"/>
      <c r="B12" s="347"/>
      <c r="C12" s="347"/>
      <c r="D12" s="347"/>
      <c r="E12" s="347"/>
      <c r="F12" s="347"/>
      <c r="G12" s="347"/>
      <c r="H12" s="347"/>
      <c r="I12" s="347"/>
      <c r="J12" s="347"/>
      <c r="K12" s="348"/>
    </row>
    <row r="13" spans="1:11">
      <c r="A13" s="346"/>
      <c r="B13" s="347"/>
      <c r="C13" s="347"/>
      <c r="D13" s="347"/>
      <c r="E13" s="347"/>
      <c r="F13" s="347"/>
      <c r="G13" s="347"/>
      <c r="H13" s="347"/>
      <c r="I13" s="347"/>
      <c r="J13" s="347"/>
      <c r="K13" s="348"/>
    </row>
    <row r="14" spans="1:11">
      <c r="A14" s="346"/>
      <c r="B14" s="347"/>
      <c r="C14" s="347"/>
      <c r="D14" s="347"/>
      <c r="E14" s="347"/>
      <c r="F14" s="347"/>
      <c r="G14" s="347"/>
      <c r="H14" s="347"/>
      <c r="I14" s="347"/>
      <c r="J14" s="347"/>
      <c r="K14" s="348"/>
    </row>
    <row r="15" spans="1:11">
      <c r="A15" s="346"/>
      <c r="B15" s="347"/>
      <c r="C15" s="347"/>
      <c r="D15" s="347"/>
      <c r="E15" s="347"/>
      <c r="F15" s="347"/>
      <c r="G15" s="347"/>
      <c r="H15" s="347"/>
      <c r="I15" s="347"/>
      <c r="J15" s="347"/>
      <c r="K15" s="348"/>
    </row>
    <row r="16" spans="1:11">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6"/>
      <c r="B36" s="347"/>
      <c r="C36" s="347"/>
      <c r="D36" s="347"/>
      <c r="E36" s="347"/>
      <c r="F36" s="347"/>
      <c r="G36" s="347"/>
      <c r="H36" s="347"/>
      <c r="I36" s="347"/>
      <c r="J36" s="347"/>
      <c r="K36" s="348"/>
    </row>
    <row r="37" spans="1:11">
      <c r="A37" s="349"/>
      <c r="B37" s="350"/>
      <c r="C37" s="350"/>
      <c r="D37" s="350"/>
      <c r="E37" s="350"/>
      <c r="F37" s="350"/>
      <c r="G37" s="350"/>
      <c r="H37" s="350"/>
      <c r="I37" s="350"/>
      <c r="J37" s="350"/>
      <c r="K37" s="351"/>
    </row>
  </sheetData>
  <sheetProtection selectLockedCells="1" selectUnlockedCells="1"/>
  <mergeCells count="1">
    <mergeCell ref="A1:K37"/>
  </mergeCells>
  <phoneticPr fontId="15" type="noConversion"/>
  <pageMargins left="0.7" right="0.7" top="0.75" bottom="0.75" header="0.3" footer="0.3"/>
  <pageSetup scale="59"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
    <tabColor rgb="FF7030A0"/>
    <pageSetUpPr fitToPage="1"/>
  </sheetPr>
  <dimension ref="A1:J42"/>
  <sheetViews>
    <sheetView showGridLines="0" workbookViewId="0">
      <selection sqref="A1:J42"/>
    </sheetView>
  </sheetViews>
  <sheetFormatPr defaultColWidth="9.08984375" defaultRowHeight="12.5"/>
  <cols>
    <col min="1" max="9" width="14.453125" customWidth="1"/>
    <col min="10" max="10" width="5.08984375" customWidth="1"/>
  </cols>
  <sheetData>
    <row r="1" spans="1:10">
      <c r="A1" s="343" t="s">
        <v>338</v>
      </c>
      <c r="B1" s="344"/>
      <c r="C1" s="344"/>
      <c r="D1" s="344"/>
      <c r="E1" s="344"/>
      <c r="F1" s="344"/>
      <c r="G1" s="344"/>
      <c r="H1" s="344"/>
      <c r="I1" s="344"/>
      <c r="J1" s="345"/>
    </row>
    <row r="2" spans="1:10">
      <c r="A2" s="346"/>
      <c r="B2" s="347"/>
      <c r="C2" s="347"/>
      <c r="D2" s="347"/>
      <c r="E2" s="347"/>
      <c r="F2" s="347"/>
      <c r="G2" s="347"/>
      <c r="H2" s="347"/>
      <c r="I2" s="347"/>
      <c r="J2" s="348"/>
    </row>
    <row r="3" spans="1:10">
      <c r="A3" s="346"/>
      <c r="B3" s="347"/>
      <c r="C3" s="347"/>
      <c r="D3" s="347"/>
      <c r="E3" s="347"/>
      <c r="F3" s="347"/>
      <c r="G3" s="347"/>
      <c r="H3" s="347"/>
      <c r="I3" s="347"/>
      <c r="J3" s="348"/>
    </row>
    <row r="4" spans="1:10">
      <c r="A4" s="346"/>
      <c r="B4" s="347"/>
      <c r="C4" s="347"/>
      <c r="D4" s="347"/>
      <c r="E4" s="347"/>
      <c r="F4" s="347"/>
      <c r="G4" s="347"/>
      <c r="H4" s="347"/>
      <c r="I4" s="347"/>
      <c r="J4" s="348"/>
    </row>
    <row r="5" spans="1:10">
      <c r="A5" s="346"/>
      <c r="B5" s="347"/>
      <c r="C5" s="347"/>
      <c r="D5" s="347"/>
      <c r="E5" s="347"/>
      <c r="F5" s="347"/>
      <c r="G5" s="347"/>
      <c r="H5" s="347"/>
      <c r="I5" s="347"/>
      <c r="J5" s="348"/>
    </row>
    <row r="6" spans="1:10">
      <c r="A6" s="346"/>
      <c r="B6" s="347"/>
      <c r="C6" s="347"/>
      <c r="D6" s="347"/>
      <c r="E6" s="347"/>
      <c r="F6" s="347"/>
      <c r="G6" s="347"/>
      <c r="H6" s="347"/>
      <c r="I6" s="347"/>
      <c r="J6" s="348"/>
    </row>
    <row r="7" spans="1:10">
      <c r="A7" s="346"/>
      <c r="B7" s="347"/>
      <c r="C7" s="347"/>
      <c r="D7" s="347"/>
      <c r="E7" s="347"/>
      <c r="F7" s="347"/>
      <c r="G7" s="347"/>
      <c r="H7" s="347"/>
      <c r="I7" s="347"/>
      <c r="J7" s="348"/>
    </row>
    <row r="8" spans="1:10">
      <c r="A8" s="346"/>
      <c r="B8" s="347"/>
      <c r="C8" s="347"/>
      <c r="D8" s="347"/>
      <c r="E8" s="347"/>
      <c r="F8" s="347"/>
      <c r="G8" s="347"/>
      <c r="H8" s="347"/>
      <c r="I8" s="347"/>
      <c r="J8" s="348"/>
    </row>
    <row r="9" spans="1:10">
      <c r="A9" s="346"/>
      <c r="B9" s="347"/>
      <c r="C9" s="347"/>
      <c r="D9" s="347"/>
      <c r="E9" s="347"/>
      <c r="F9" s="347"/>
      <c r="G9" s="347"/>
      <c r="H9" s="347"/>
      <c r="I9" s="347"/>
      <c r="J9" s="348"/>
    </row>
    <row r="10" spans="1:10">
      <c r="A10" s="346"/>
      <c r="B10" s="347"/>
      <c r="C10" s="347"/>
      <c r="D10" s="347"/>
      <c r="E10" s="347"/>
      <c r="F10" s="347"/>
      <c r="G10" s="347"/>
      <c r="H10" s="347"/>
      <c r="I10" s="347"/>
      <c r="J10" s="348"/>
    </row>
    <row r="11" spans="1:10">
      <c r="A11" s="346"/>
      <c r="B11" s="347"/>
      <c r="C11" s="347"/>
      <c r="D11" s="347"/>
      <c r="E11" s="347"/>
      <c r="F11" s="347"/>
      <c r="G11" s="347"/>
      <c r="H11" s="347"/>
      <c r="I11" s="347"/>
      <c r="J11" s="348"/>
    </row>
    <row r="12" spans="1:10">
      <c r="A12" s="346"/>
      <c r="B12" s="347"/>
      <c r="C12" s="347"/>
      <c r="D12" s="347"/>
      <c r="E12" s="347"/>
      <c r="F12" s="347"/>
      <c r="G12" s="347"/>
      <c r="H12" s="347"/>
      <c r="I12" s="347"/>
      <c r="J12" s="348"/>
    </row>
    <row r="13" spans="1:10">
      <c r="A13" s="346"/>
      <c r="B13" s="347"/>
      <c r="C13" s="347"/>
      <c r="D13" s="347"/>
      <c r="E13" s="347"/>
      <c r="F13" s="347"/>
      <c r="G13" s="347"/>
      <c r="H13" s="347"/>
      <c r="I13" s="347"/>
      <c r="J13" s="348"/>
    </row>
    <row r="14" spans="1:10">
      <c r="A14" s="346"/>
      <c r="B14" s="347"/>
      <c r="C14" s="347"/>
      <c r="D14" s="347"/>
      <c r="E14" s="347"/>
      <c r="F14" s="347"/>
      <c r="G14" s="347"/>
      <c r="H14" s="347"/>
      <c r="I14" s="347"/>
      <c r="J14" s="348"/>
    </row>
    <row r="15" spans="1:10">
      <c r="A15" s="346"/>
      <c r="B15" s="347"/>
      <c r="C15" s="347"/>
      <c r="D15" s="347"/>
      <c r="E15" s="347"/>
      <c r="F15" s="347"/>
      <c r="G15" s="347"/>
      <c r="H15" s="347"/>
      <c r="I15" s="347"/>
      <c r="J15" s="348"/>
    </row>
    <row r="16" spans="1:10">
      <c r="A16" s="346"/>
      <c r="B16" s="347"/>
      <c r="C16" s="347"/>
      <c r="D16" s="347"/>
      <c r="E16" s="347"/>
      <c r="F16" s="347"/>
      <c r="G16" s="347"/>
      <c r="H16" s="347"/>
      <c r="I16" s="347"/>
      <c r="J16" s="348"/>
    </row>
    <row r="17" spans="1:10">
      <c r="A17" s="346"/>
      <c r="B17" s="347"/>
      <c r="C17" s="347"/>
      <c r="D17" s="347"/>
      <c r="E17" s="347"/>
      <c r="F17" s="347"/>
      <c r="G17" s="347"/>
      <c r="H17" s="347"/>
      <c r="I17" s="347"/>
      <c r="J17" s="348"/>
    </row>
    <row r="18" spans="1:10">
      <c r="A18" s="346"/>
      <c r="B18" s="347"/>
      <c r="C18" s="347"/>
      <c r="D18" s="347"/>
      <c r="E18" s="347"/>
      <c r="F18" s="347"/>
      <c r="G18" s="347"/>
      <c r="H18" s="347"/>
      <c r="I18" s="347"/>
      <c r="J18" s="348"/>
    </row>
    <row r="19" spans="1:10">
      <c r="A19" s="346"/>
      <c r="B19" s="347"/>
      <c r="C19" s="347"/>
      <c r="D19" s="347"/>
      <c r="E19" s="347"/>
      <c r="F19" s="347"/>
      <c r="G19" s="347"/>
      <c r="H19" s="347"/>
      <c r="I19" s="347"/>
      <c r="J19" s="348"/>
    </row>
    <row r="20" spans="1:10">
      <c r="A20" s="346"/>
      <c r="B20" s="347"/>
      <c r="C20" s="347"/>
      <c r="D20" s="347"/>
      <c r="E20" s="347"/>
      <c r="F20" s="347"/>
      <c r="G20" s="347"/>
      <c r="H20" s="347"/>
      <c r="I20" s="347"/>
      <c r="J20" s="348"/>
    </row>
    <row r="21" spans="1:10">
      <c r="A21" s="346"/>
      <c r="B21" s="347"/>
      <c r="C21" s="347"/>
      <c r="D21" s="347"/>
      <c r="E21" s="347"/>
      <c r="F21" s="347"/>
      <c r="G21" s="347"/>
      <c r="H21" s="347"/>
      <c r="I21" s="347"/>
      <c r="J21" s="348"/>
    </row>
    <row r="22" spans="1:10">
      <c r="A22" s="346"/>
      <c r="B22" s="347"/>
      <c r="C22" s="347"/>
      <c r="D22" s="347"/>
      <c r="E22" s="347"/>
      <c r="F22" s="347"/>
      <c r="G22" s="347"/>
      <c r="H22" s="347"/>
      <c r="I22" s="347"/>
      <c r="J22" s="348"/>
    </row>
    <row r="23" spans="1:10">
      <c r="A23" s="346"/>
      <c r="B23" s="347"/>
      <c r="C23" s="347"/>
      <c r="D23" s="347"/>
      <c r="E23" s="347"/>
      <c r="F23" s="347"/>
      <c r="G23" s="347"/>
      <c r="H23" s="347"/>
      <c r="I23" s="347"/>
      <c r="J23" s="348"/>
    </row>
    <row r="24" spans="1:10">
      <c r="A24" s="346"/>
      <c r="B24" s="347"/>
      <c r="C24" s="347"/>
      <c r="D24" s="347"/>
      <c r="E24" s="347"/>
      <c r="F24" s="347"/>
      <c r="G24" s="347"/>
      <c r="H24" s="347"/>
      <c r="I24" s="347"/>
      <c r="J24" s="348"/>
    </row>
    <row r="25" spans="1:10">
      <c r="A25" s="346"/>
      <c r="B25" s="347"/>
      <c r="C25" s="347"/>
      <c r="D25" s="347"/>
      <c r="E25" s="347"/>
      <c r="F25" s="347"/>
      <c r="G25" s="347"/>
      <c r="H25" s="347"/>
      <c r="I25" s="347"/>
      <c r="J25" s="348"/>
    </row>
    <row r="26" spans="1:10">
      <c r="A26" s="346"/>
      <c r="B26" s="347"/>
      <c r="C26" s="347"/>
      <c r="D26" s="347"/>
      <c r="E26" s="347"/>
      <c r="F26" s="347"/>
      <c r="G26" s="347"/>
      <c r="H26" s="347"/>
      <c r="I26" s="347"/>
      <c r="J26" s="348"/>
    </row>
    <row r="27" spans="1:10">
      <c r="A27" s="346"/>
      <c r="B27" s="347"/>
      <c r="C27" s="347"/>
      <c r="D27" s="347"/>
      <c r="E27" s="347"/>
      <c r="F27" s="347"/>
      <c r="G27" s="347"/>
      <c r="H27" s="347"/>
      <c r="I27" s="347"/>
      <c r="J27" s="348"/>
    </row>
    <row r="28" spans="1:10">
      <c r="A28" s="346"/>
      <c r="B28" s="347"/>
      <c r="C28" s="347"/>
      <c r="D28" s="347"/>
      <c r="E28" s="347"/>
      <c r="F28" s="347"/>
      <c r="G28" s="347"/>
      <c r="H28" s="347"/>
      <c r="I28" s="347"/>
      <c r="J28" s="348"/>
    </row>
    <row r="29" spans="1:10">
      <c r="A29" s="346"/>
      <c r="B29" s="347"/>
      <c r="C29" s="347"/>
      <c r="D29" s="347"/>
      <c r="E29" s="347"/>
      <c r="F29" s="347"/>
      <c r="G29" s="347"/>
      <c r="H29" s="347"/>
      <c r="I29" s="347"/>
      <c r="J29" s="348"/>
    </row>
    <row r="30" spans="1:10">
      <c r="A30" s="346"/>
      <c r="B30" s="347"/>
      <c r="C30" s="347"/>
      <c r="D30" s="347"/>
      <c r="E30" s="347"/>
      <c r="F30" s="347"/>
      <c r="G30" s="347"/>
      <c r="H30" s="347"/>
      <c r="I30" s="347"/>
      <c r="J30" s="348"/>
    </row>
    <row r="31" spans="1:10">
      <c r="A31" s="346"/>
      <c r="B31" s="347"/>
      <c r="C31" s="347"/>
      <c r="D31" s="347"/>
      <c r="E31" s="347"/>
      <c r="F31" s="347"/>
      <c r="G31" s="347"/>
      <c r="H31" s="347"/>
      <c r="I31" s="347"/>
      <c r="J31" s="348"/>
    </row>
    <row r="32" spans="1:10">
      <c r="A32" s="346"/>
      <c r="B32" s="347"/>
      <c r="C32" s="347"/>
      <c r="D32" s="347"/>
      <c r="E32" s="347"/>
      <c r="F32" s="347"/>
      <c r="G32" s="347"/>
      <c r="H32" s="347"/>
      <c r="I32" s="347"/>
      <c r="J32" s="348"/>
    </row>
    <row r="33" spans="1:10">
      <c r="A33" s="346"/>
      <c r="B33" s="347"/>
      <c r="C33" s="347"/>
      <c r="D33" s="347"/>
      <c r="E33" s="347"/>
      <c r="F33" s="347"/>
      <c r="G33" s="347"/>
      <c r="H33" s="347"/>
      <c r="I33" s="347"/>
      <c r="J33" s="348"/>
    </row>
    <row r="34" spans="1:10">
      <c r="A34" s="346"/>
      <c r="B34" s="347"/>
      <c r="C34" s="347"/>
      <c r="D34" s="347"/>
      <c r="E34" s="347"/>
      <c r="F34" s="347"/>
      <c r="G34" s="347"/>
      <c r="H34" s="347"/>
      <c r="I34" s="347"/>
      <c r="J34" s="348"/>
    </row>
    <row r="35" spans="1:10">
      <c r="A35" s="346"/>
      <c r="B35" s="347"/>
      <c r="C35" s="347"/>
      <c r="D35" s="347"/>
      <c r="E35" s="347"/>
      <c r="F35" s="347"/>
      <c r="G35" s="347"/>
      <c r="H35" s="347"/>
      <c r="I35" s="347"/>
      <c r="J35" s="348"/>
    </row>
    <row r="36" spans="1:10">
      <c r="A36" s="346"/>
      <c r="B36" s="347"/>
      <c r="C36" s="347"/>
      <c r="D36" s="347"/>
      <c r="E36" s="347"/>
      <c r="F36" s="347"/>
      <c r="G36" s="347"/>
      <c r="H36" s="347"/>
      <c r="I36" s="347"/>
      <c r="J36" s="348"/>
    </row>
    <row r="37" spans="1:10">
      <c r="A37" s="346"/>
      <c r="B37" s="347"/>
      <c r="C37" s="347"/>
      <c r="D37" s="347"/>
      <c r="E37" s="347"/>
      <c r="F37" s="347"/>
      <c r="G37" s="347"/>
      <c r="H37" s="347"/>
      <c r="I37" s="347"/>
      <c r="J37" s="348"/>
    </row>
    <row r="38" spans="1:10">
      <c r="A38" s="346"/>
      <c r="B38" s="347"/>
      <c r="C38" s="347"/>
      <c r="D38" s="347"/>
      <c r="E38" s="347"/>
      <c r="F38" s="347"/>
      <c r="G38" s="347"/>
      <c r="H38" s="347"/>
      <c r="I38" s="347"/>
      <c r="J38" s="348"/>
    </row>
    <row r="39" spans="1:10">
      <c r="A39" s="346"/>
      <c r="B39" s="347"/>
      <c r="C39" s="347"/>
      <c r="D39" s="347"/>
      <c r="E39" s="347"/>
      <c r="F39" s="347"/>
      <c r="G39" s="347"/>
      <c r="H39" s="347"/>
      <c r="I39" s="347"/>
      <c r="J39" s="348"/>
    </row>
    <row r="40" spans="1:10">
      <c r="A40" s="346"/>
      <c r="B40" s="347"/>
      <c r="C40" s="347"/>
      <c r="D40" s="347"/>
      <c r="E40" s="347"/>
      <c r="F40" s="347"/>
      <c r="G40" s="347"/>
      <c r="H40" s="347"/>
      <c r="I40" s="347"/>
      <c r="J40" s="348"/>
    </row>
    <row r="41" spans="1:10">
      <c r="A41" s="346"/>
      <c r="B41" s="347"/>
      <c r="C41" s="347"/>
      <c r="D41" s="347"/>
      <c r="E41" s="347"/>
      <c r="F41" s="347"/>
      <c r="G41" s="347"/>
      <c r="H41" s="347"/>
      <c r="I41" s="347"/>
      <c r="J41" s="348"/>
    </row>
    <row r="42" spans="1:10">
      <c r="A42" s="349"/>
      <c r="B42" s="350"/>
      <c r="C42" s="350"/>
      <c r="D42" s="350"/>
      <c r="E42" s="350"/>
      <c r="F42" s="350"/>
      <c r="G42" s="350"/>
      <c r="H42" s="350"/>
      <c r="I42" s="350"/>
      <c r="J42" s="351"/>
    </row>
  </sheetData>
  <sheetProtection selectLockedCells="1" selectUnlockedCells="1"/>
  <mergeCells count="1">
    <mergeCell ref="A1:J42"/>
  </mergeCells>
  <phoneticPr fontId="15" type="noConversion"/>
  <pageMargins left="1" right="1" top="1" bottom="1" header="0.3" footer="0.3"/>
  <pageSetup scale="61" orientation="portrait" horizontalDpi="4294967293" verticalDpi="4294967293"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7">
    <tabColor rgb="FF7030A0"/>
    <pageSetUpPr fitToPage="1"/>
  </sheetPr>
  <dimension ref="A1:K42"/>
  <sheetViews>
    <sheetView showGridLines="0" zoomScale="90" zoomScaleNormal="90" workbookViewId="0">
      <selection sqref="A1:K42"/>
    </sheetView>
  </sheetViews>
  <sheetFormatPr defaultRowHeight="12.5"/>
  <cols>
    <col min="1" max="11" width="14.453125" customWidth="1"/>
  </cols>
  <sheetData>
    <row r="1" spans="1:11">
      <c r="A1" s="343" t="s">
        <v>337</v>
      </c>
      <c r="B1" s="344"/>
      <c r="C1" s="344"/>
      <c r="D1" s="344"/>
      <c r="E1" s="344"/>
      <c r="F1" s="344"/>
      <c r="G1" s="344"/>
      <c r="H1" s="344"/>
      <c r="I1" s="344"/>
      <c r="J1" s="344"/>
      <c r="K1" s="345"/>
    </row>
    <row r="2" spans="1:11">
      <c r="A2" s="346"/>
      <c r="B2" s="347"/>
      <c r="C2" s="347"/>
      <c r="D2" s="347"/>
      <c r="E2" s="347"/>
      <c r="F2" s="347"/>
      <c r="G2" s="347"/>
      <c r="H2" s="347"/>
      <c r="I2" s="347"/>
      <c r="J2" s="347"/>
      <c r="K2" s="348"/>
    </row>
    <row r="3" spans="1:11">
      <c r="A3" s="346"/>
      <c r="B3" s="347"/>
      <c r="C3" s="347"/>
      <c r="D3" s="347"/>
      <c r="E3" s="347"/>
      <c r="F3" s="347"/>
      <c r="G3" s="347"/>
      <c r="H3" s="347"/>
      <c r="I3" s="347"/>
      <c r="J3" s="347"/>
      <c r="K3" s="348"/>
    </row>
    <row r="4" spans="1:11">
      <c r="A4" s="346"/>
      <c r="B4" s="347"/>
      <c r="C4" s="347"/>
      <c r="D4" s="347"/>
      <c r="E4" s="347"/>
      <c r="F4" s="347"/>
      <c r="G4" s="347"/>
      <c r="H4" s="347"/>
      <c r="I4" s="347"/>
      <c r="J4" s="347"/>
      <c r="K4" s="348"/>
    </row>
    <row r="5" spans="1:11">
      <c r="A5" s="346"/>
      <c r="B5" s="347"/>
      <c r="C5" s="347"/>
      <c r="D5" s="347"/>
      <c r="E5" s="347"/>
      <c r="F5" s="347"/>
      <c r="G5" s="347"/>
      <c r="H5" s="347"/>
      <c r="I5" s="347"/>
      <c r="J5" s="347"/>
      <c r="K5" s="348"/>
    </row>
    <row r="6" spans="1:11">
      <c r="A6" s="346"/>
      <c r="B6" s="347"/>
      <c r="C6" s="347"/>
      <c r="D6" s="347"/>
      <c r="E6" s="347"/>
      <c r="F6" s="347"/>
      <c r="G6" s="347"/>
      <c r="H6" s="347"/>
      <c r="I6" s="347"/>
      <c r="J6" s="347"/>
      <c r="K6" s="348"/>
    </row>
    <row r="7" spans="1:11">
      <c r="A7" s="346"/>
      <c r="B7" s="347"/>
      <c r="C7" s="347"/>
      <c r="D7" s="347"/>
      <c r="E7" s="347"/>
      <c r="F7" s="347"/>
      <c r="G7" s="347"/>
      <c r="H7" s="347"/>
      <c r="I7" s="347"/>
      <c r="J7" s="347"/>
      <c r="K7" s="348"/>
    </row>
    <row r="8" spans="1:11">
      <c r="A8" s="346"/>
      <c r="B8" s="347"/>
      <c r="C8" s="347"/>
      <c r="D8" s="347"/>
      <c r="E8" s="347"/>
      <c r="F8" s="347"/>
      <c r="G8" s="347"/>
      <c r="H8" s="347"/>
      <c r="I8" s="347"/>
      <c r="J8" s="347"/>
      <c r="K8" s="348"/>
    </row>
    <row r="9" spans="1:11">
      <c r="A9" s="346"/>
      <c r="B9" s="347"/>
      <c r="C9" s="347"/>
      <c r="D9" s="347"/>
      <c r="E9" s="347"/>
      <c r="F9" s="347"/>
      <c r="G9" s="347"/>
      <c r="H9" s="347"/>
      <c r="I9" s="347"/>
      <c r="J9" s="347"/>
      <c r="K9" s="348"/>
    </row>
    <row r="10" spans="1:11">
      <c r="A10" s="346"/>
      <c r="B10" s="347"/>
      <c r="C10" s="347"/>
      <c r="D10" s="347"/>
      <c r="E10" s="347"/>
      <c r="F10" s="347"/>
      <c r="G10" s="347"/>
      <c r="H10" s="347"/>
      <c r="I10" s="347"/>
      <c r="J10" s="347"/>
      <c r="K10" s="348"/>
    </row>
    <row r="11" spans="1:11">
      <c r="A11" s="346"/>
      <c r="B11" s="347"/>
      <c r="C11" s="347"/>
      <c r="D11" s="347"/>
      <c r="E11" s="347"/>
      <c r="F11" s="347"/>
      <c r="G11" s="347"/>
      <c r="H11" s="347"/>
      <c r="I11" s="347"/>
      <c r="J11" s="347"/>
      <c r="K11" s="348"/>
    </row>
    <row r="12" spans="1:11">
      <c r="A12" s="346"/>
      <c r="B12" s="347"/>
      <c r="C12" s="347"/>
      <c r="D12" s="347"/>
      <c r="E12" s="347"/>
      <c r="F12" s="347"/>
      <c r="G12" s="347"/>
      <c r="H12" s="347"/>
      <c r="I12" s="347"/>
      <c r="J12" s="347"/>
      <c r="K12" s="348"/>
    </row>
    <row r="13" spans="1:11">
      <c r="A13" s="346"/>
      <c r="B13" s="347"/>
      <c r="C13" s="347"/>
      <c r="D13" s="347"/>
      <c r="E13" s="347"/>
      <c r="F13" s="347"/>
      <c r="G13" s="347"/>
      <c r="H13" s="347"/>
      <c r="I13" s="347"/>
      <c r="J13" s="347"/>
      <c r="K13" s="348"/>
    </row>
    <row r="14" spans="1:11">
      <c r="A14" s="346"/>
      <c r="B14" s="347"/>
      <c r="C14" s="347"/>
      <c r="D14" s="347"/>
      <c r="E14" s="347"/>
      <c r="F14" s="347"/>
      <c r="G14" s="347"/>
      <c r="H14" s="347"/>
      <c r="I14" s="347"/>
      <c r="J14" s="347"/>
      <c r="K14" s="348"/>
    </row>
    <row r="15" spans="1:11">
      <c r="A15" s="346"/>
      <c r="B15" s="347"/>
      <c r="C15" s="347"/>
      <c r="D15" s="347"/>
      <c r="E15" s="347"/>
      <c r="F15" s="347"/>
      <c r="G15" s="347"/>
      <c r="H15" s="347"/>
      <c r="I15" s="347"/>
      <c r="J15" s="347"/>
      <c r="K15" s="348"/>
    </row>
    <row r="16" spans="1:11">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6"/>
      <c r="B36" s="347"/>
      <c r="C36" s="347"/>
      <c r="D36" s="347"/>
      <c r="E36" s="347"/>
      <c r="F36" s="347"/>
      <c r="G36" s="347"/>
      <c r="H36" s="347"/>
      <c r="I36" s="347"/>
      <c r="J36" s="347"/>
      <c r="K36" s="348"/>
    </row>
    <row r="37" spans="1:11">
      <c r="A37" s="346"/>
      <c r="B37" s="347"/>
      <c r="C37" s="347"/>
      <c r="D37" s="347"/>
      <c r="E37" s="347"/>
      <c r="F37" s="347"/>
      <c r="G37" s="347"/>
      <c r="H37" s="347"/>
      <c r="I37" s="347"/>
      <c r="J37" s="347"/>
      <c r="K37" s="348"/>
    </row>
    <row r="38" spans="1:11">
      <c r="A38" s="346"/>
      <c r="B38" s="347"/>
      <c r="C38" s="347"/>
      <c r="D38" s="347"/>
      <c r="E38" s="347"/>
      <c r="F38" s="347"/>
      <c r="G38" s="347"/>
      <c r="H38" s="347"/>
      <c r="I38" s="347"/>
      <c r="J38" s="347"/>
      <c r="K38" s="348"/>
    </row>
    <row r="39" spans="1:11">
      <c r="A39" s="346"/>
      <c r="B39" s="347"/>
      <c r="C39" s="347"/>
      <c r="D39" s="347"/>
      <c r="E39" s="347"/>
      <c r="F39" s="347"/>
      <c r="G39" s="347"/>
      <c r="H39" s="347"/>
      <c r="I39" s="347"/>
      <c r="J39" s="347"/>
      <c r="K39" s="348"/>
    </row>
    <row r="40" spans="1:11">
      <c r="A40" s="346"/>
      <c r="B40" s="347"/>
      <c r="C40" s="347"/>
      <c r="D40" s="347"/>
      <c r="E40" s="347"/>
      <c r="F40" s="347"/>
      <c r="G40" s="347"/>
      <c r="H40" s="347"/>
      <c r="I40" s="347"/>
      <c r="J40" s="347"/>
      <c r="K40" s="348"/>
    </row>
    <row r="41" spans="1:11">
      <c r="A41" s="346"/>
      <c r="B41" s="347"/>
      <c r="C41" s="347"/>
      <c r="D41" s="347"/>
      <c r="E41" s="347"/>
      <c r="F41" s="347"/>
      <c r="G41" s="347"/>
      <c r="H41" s="347"/>
      <c r="I41" s="347"/>
      <c r="J41" s="347"/>
      <c r="K41" s="348"/>
    </row>
    <row r="42" spans="1:11">
      <c r="A42" s="349"/>
      <c r="B42" s="350"/>
      <c r="C42" s="350"/>
      <c r="D42" s="350"/>
      <c r="E42" s="350"/>
      <c r="F42" s="350"/>
      <c r="G42" s="350"/>
      <c r="H42" s="350"/>
      <c r="I42" s="350"/>
      <c r="J42" s="350"/>
      <c r="K42" s="351"/>
    </row>
  </sheetData>
  <sheetProtection selectLockedCells="1" selectUnlockedCells="1"/>
  <mergeCells count="1">
    <mergeCell ref="A1:K42"/>
  </mergeCells>
  <phoneticPr fontId="15" type="noConversion"/>
  <pageMargins left="1" right="1" top="1" bottom="1" header="0.3" footer="0.3"/>
  <pageSetup scale="53" orientation="portrait" horizontalDpi="4294967293" verticalDpi="4294967293"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8">
    <tabColor rgb="FF7030A0"/>
    <pageSetUpPr fitToPage="1"/>
  </sheetPr>
  <dimension ref="A1:K36"/>
  <sheetViews>
    <sheetView showGridLines="0" zoomScale="90" zoomScaleNormal="90" workbookViewId="0">
      <selection activeCell="B45" sqref="B45"/>
    </sheetView>
  </sheetViews>
  <sheetFormatPr defaultColWidth="9.08984375" defaultRowHeight="12.5"/>
  <cols>
    <col min="1" max="11" width="13.6328125" customWidth="1"/>
  </cols>
  <sheetData>
    <row r="1" spans="1:11">
      <c r="A1" s="343" t="s">
        <v>337</v>
      </c>
      <c r="B1" s="344"/>
      <c r="C1" s="344"/>
      <c r="D1" s="344"/>
      <c r="E1" s="344"/>
      <c r="F1" s="344"/>
      <c r="G1" s="344"/>
      <c r="H1" s="344"/>
      <c r="I1" s="344"/>
      <c r="J1" s="344"/>
      <c r="K1" s="345"/>
    </row>
    <row r="2" spans="1:11">
      <c r="A2" s="346"/>
      <c r="B2" s="347"/>
      <c r="C2" s="347"/>
      <c r="D2" s="347"/>
      <c r="E2" s="347"/>
      <c r="F2" s="347"/>
      <c r="G2" s="347"/>
      <c r="H2" s="347"/>
      <c r="I2" s="347"/>
      <c r="J2" s="347"/>
      <c r="K2" s="348"/>
    </row>
    <row r="3" spans="1:11">
      <c r="A3" s="346"/>
      <c r="B3" s="347"/>
      <c r="C3" s="347"/>
      <c r="D3" s="347"/>
      <c r="E3" s="347"/>
      <c r="F3" s="347"/>
      <c r="G3" s="347"/>
      <c r="H3" s="347"/>
      <c r="I3" s="347"/>
      <c r="J3" s="347"/>
      <c r="K3" s="348"/>
    </row>
    <row r="4" spans="1:11">
      <c r="A4" s="346"/>
      <c r="B4" s="347"/>
      <c r="C4" s="347"/>
      <c r="D4" s="347"/>
      <c r="E4" s="347"/>
      <c r="F4" s="347"/>
      <c r="G4" s="347"/>
      <c r="H4" s="347"/>
      <c r="I4" s="347"/>
      <c r="J4" s="347"/>
      <c r="K4" s="348"/>
    </row>
    <row r="5" spans="1:11">
      <c r="A5" s="346"/>
      <c r="B5" s="347"/>
      <c r="C5" s="347"/>
      <c r="D5" s="347"/>
      <c r="E5" s="347"/>
      <c r="F5" s="347"/>
      <c r="G5" s="347"/>
      <c r="H5" s="347"/>
      <c r="I5" s="347"/>
      <c r="J5" s="347"/>
      <c r="K5" s="348"/>
    </row>
    <row r="6" spans="1:11">
      <c r="A6" s="346"/>
      <c r="B6" s="347"/>
      <c r="C6" s="347"/>
      <c r="D6" s="347"/>
      <c r="E6" s="347"/>
      <c r="F6" s="347"/>
      <c r="G6" s="347"/>
      <c r="H6" s="347"/>
      <c r="I6" s="347"/>
      <c r="J6" s="347"/>
      <c r="K6" s="348"/>
    </row>
    <row r="7" spans="1:11">
      <c r="A7" s="346"/>
      <c r="B7" s="347"/>
      <c r="C7" s="347"/>
      <c r="D7" s="347"/>
      <c r="E7" s="347"/>
      <c r="F7" s="347"/>
      <c r="G7" s="347"/>
      <c r="H7" s="347"/>
      <c r="I7" s="347"/>
      <c r="J7" s="347"/>
      <c r="K7" s="348"/>
    </row>
    <row r="8" spans="1:11">
      <c r="A8" s="346"/>
      <c r="B8" s="347"/>
      <c r="C8" s="347"/>
      <c r="D8" s="347"/>
      <c r="E8" s="347"/>
      <c r="F8" s="347"/>
      <c r="G8" s="347"/>
      <c r="H8" s="347"/>
      <c r="I8" s="347"/>
      <c r="J8" s="347"/>
      <c r="K8" s="348"/>
    </row>
    <row r="9" spans="1:11">
      <c r="A9" s="346"/>
      <c r="B9" s="347"/>
      <c r="C9" s="347"/>
      <c r="D9" s="347"/>
      <c r="E9" s="347"/>
      <c r="F9" s="347"/>
      <c r="G9" s="347"/>
      <c r="H9" s="347"/>
      <c r="I9" s="347"/>
      <c r="J9" s="347"/>
      <c r="K9" s="348"/>
    </row>
    <row r="10" spans="1:11">
      <c r="A10" s="346"/>
      <c r="B10" s="347"/>
      <c r="C10" s="347"/>
      <c r="D10" s="347"/>
      <c r="E10" s="347"/>
      <c r="F10" s="347"/>
      <c r="G10" s="347"/>
      <c r="H10" s="347"/>
      <c r="I10" s="347"/>
      <c r="J10" s="347"/>
      <c r="K10" s="348"/>
    </row>
    <row r="11" spans="1:11">
      <c r="A11" s="346"/>
      <c r="B11" s="347"/>
      <c r="C11" s="347"/>
      <c r="D11" s="347"/>
      <c r="E11" s="347"/>
      <c r="F11" s="347"/>
      <c r="G11" s="347"/>
      <c r="H11" s="347"/>
      <c r="I11" s="347"/>
      <c r="J11" s="347"/>
      <c r="K11" s="348"/>
    </row>
    <row r="12" spans="1:11">
      <c r="A12" s="346"/>
      <c r="B12" s="347"/>
      <c r="C12" s="347"/>
      <c r="D12" s="347"/>
      <c r="E12" s="347"/>
      <c r="F12" s="347"/>
      <c r="G12" s="347"/>
      <c r="H12" s="347"/>
      <c r="I12" s="347"/>
      <c r="J12" s="347"/>
      <c r="K12" s="348"/>
    </row>
    <row r="13" spans="1:11">
      <c r="A13" s="346"/>
      <c r="B13" s="347"/>
      <c r="C13" s="347"/>
      <c r="D13" s="347"/>
      <c r="E13" s="347"/>
      <c r="F13" s="347"/>
      <c r="G13" s="347"/>
      <c r="H13" s="347"/>
      <c r="I13" s="347"/>
      <c r="J13" s="347"/>
      <c r="K13" s="348"/>
    </row>
    <row r="14" spans="1:11">
      <c r="A14" s="346"/>
      <c r="B14" s="347"/>
      <c r="C14" s="347"/>
      <c r="D14" s="347"/>
      <c r="E14" s="347"/>
      <c r="F14" s="347"/>
      <c r="G14" s="347"/>
      <c r="H14" s="347"/>
      <c r="I14" s="347"/>
      <c r="J14" s="347"/>
      <c r="K14" s="348"/>
    </row>
    <row r="15" spans="1:11">
      <c r="A15" s="346"/>
      <c r="B15" s="347"/>
      <c r="C15" s="347"/>
      <c r="D15" s="347"/>
      <c r="E15" s="347"/>
      <c r="F15" s="347"/>
      <c r="G15" s="347"/>
      <c r="H15" s="347"/>
      <c r="I15" s="347"/>
      <c r="J15" s="347"/>
      <c r="K15" s="348"/>
    </row>
    <row r="16" spans="1:11">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9"/>
      <c r="B36" s="350"/>
      <c r="C36" s="350"/>
      <c r="D36" s="350"/>
      <c r="E36" s="350"/>
      <c r="F36" s="350"/>
      <c r="G36" s="350"/>
      <c r="H36" s="350"/>
      <c r="I36" s="350"/>
      <c r="J36" s="350"/>
      <c r="K36" s="351"/>
    </row>
  </sheetData>
  <sheetProtection selectLockedCells="1" selectUnlockedCells="1"/>
  <mergeCells count="1">
    <mergeCell ref="A1:K36"/>
  </mergeCells>
  <phoneticPr fontId="15" type="noConversion"/>
  <pageMargins left="1" right="1" top="1" bottom="1" header="0.3" footer="0.3"/>
  <pageSetup scale="54" orientation="portrait" horizontalDpi="4294967293" verticalDpi="4294967293"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9">
    <tabColor rgb="FF7030A0"/>
    <pageSetUpPr fitToPage="1"/>
  </sheetPr>
  <dimension ref="A1:L37"/>
  <sheetViews>
    <sheetView showGridLines="0" zoomScale="90" zoomScaleNormal="90" workbookViewId="0">
      <selection sqref="A1:K37"/>
    </sheetView>
  </sheetViews>
  <sheetFormatPr defaultColWidth="9.08984375" defaultRowHeight="12.5"/>
  <cols>
    <col min="1" max="1" width="14.453125" style="86" customWidth="1"/>
    <col min="2" max="11" width="14.453125" customWidth="1"/>
  </cols>
  <sheetData>
    <row r="1" spans="1:12" s="85" customFormat="1" ht="29.5">
      <c r="A1" s="353" t="s">
        <v>340</v>
      </c>
      <c r="B1" s="344"/>
      <c r="C1" s="344"/>
      <c r="D1" s="344"/>
      <c r="E1" s="344"/>
      <c r="F1" s="344"/>
      <c r="G1" s="344"/>
      <c r="H1" s="344"/>
      <c r="I1" s="344"/>
      <c r="J1" s="344"/>
      <c r="K1" s="345"/>
      <c r="L1" s="87"/>
    </row>
    <row r="2" spans="1:12">
      <c r="A2" s="346"/>
      <c r="B2" s="347"/>
      <c r="C2" s="347"/>
      <c r="D2" s="347"/>
      <c r="E2" s="347"/>
      <c r="F2" s="347"/>
      <c r="G2" s="347"/>
      <c r="H2" s="347"/>
      <c r="I2" s="347"/>
      <c r="J2" s="347"/>
      <c r="K2" s="348"/>
    </row>
    <row r="3" spans="1:12" ht="40.5" customHeight="1">
      <c r="A3" s="346"/>
      <c r="B3" s="347"/>
      <c r="C3" s="347"/>
      <c r="D3" s="347"/>
      <c r="E3" s="347"/>
      <c r="F3" s="347"/>
      <c r="G3" s="347"/>
      <c r="H3" s="347"/>
      <c r="I3" s="347"/>
      <c r="J3" s="347"/>
      <c r="K3" s="348"/>
    </row>
    <row r="4" spans="1:12">
      <c r="A4" s="346"/>
      <c r="B4" s="347"/>
      <c r="C4" s="347"/>
      <c r="D4" s="347"/>
      <c r="E4" s="347"/>
      <c r="F4" s="347"/>
      <c r="G4" s="347"/>
      <c r="H4" s="347"/>
      <c r="I4" s="347"/>
      <c r="J4" s="347"/>
      <c r="K4" s="348"/>
    </row>
    <row r="5" spans="1:12">
      <c r="A5" s="346"/>
      <c r="B5" s="347"/>
      <c r="C5" s="347"/>
      <c r="D5" s="347"/>
      <c r="E5" s="347"/>
      <c r="F5" s="347"/>
      <c r="G5" s="347"/>
      <c r="H5" s="347"/>
      <c r="I5" s="347"/>
      <c r="J5" s="347"/>
      <c r="K5" s="348"/>
    </row>
    <row r="6" spans="1:12">
      <c r="A6" s="346"/>
      <c r="B6" s="347"/>
      <c r="C6" s="347"/>
      <c r="D6" s="347"/>
      <c r="E6" s="347"/>
      <c r="F6" s="347"/>
      <c r="G6" s="347"/>
      <c r="H6" s="347"/>
      <c r="I6" s="347"/>
      <c r="J6" s="347"/>
      <c r="K6" s="348"/>
    </row>
    <row r="7" spans="1:12">
      <c r="A7" s="346"/>
      <c r="B7" s="347"/>
      <c r="C7" s="347"/>
      <c r="D7" s="347"/>
      <c r="E7" s="347"/>
      <c r="F7" s="347"/>
      <c r="G7" s="347"/>
      <c r="H7" s="347"/>
      <c r="I7" s="347"/>
      <c r="J7" s="347"/>
      <c r="K7" s="348"/>
    </row>
    <row r="8" spans="1:12">
      <c r="A8" s="346"/>
      <c r="B8" s="347"/>
      <c r="C8" s="347"/>
      <c r="D8" s="347"/>
      <c r="E8" s="347"/>
      <c r="F8" s="347"/>
      <c r="G8" s="347"/>
      <c r="H8" s="347"/>
      <c r="I8" s="347"/>
      <c r="J8" s="347"/>
      <c r="K8" s="348"/>
    </row>
    <row r="9" spans="1:12">
      <c r="A9" s="346"/>
      <c r="B9" s="347"/>
      <c r="C9" s="347"/>
      <c r="D9" s="347"/>
      <c r="E9" s="347"/>
      <c r="F9" s="347"/>
      <c r="G9" s="347"/>
      <c r="H9" s="347"/>
      <c r="I9" s="347"/>
      <c r="J9" s="347"/>
      <c r="K9" s="348"/>
    </row>
    <row r="10" spans="1:12">
      <c r="A10" s="346"/>
      <c r="B10" s="347"/>
      <c r="C10" s="347"/>
      <c r="D10" s="347"/>
      <c r="E10" s="347"/>
      <c r="F10" s="347"/>
      <c r="G10" s="347"/>
      <c r="H10" s="347"/>
      <c r="I10" s="347"/>
      <c r="J10" s="347"/>
      <c r="K10" s="348"/>
    </row>
    <row r="11" spans="1:12">
      <c r="A11" s="346"/>
      <c r="B11" s="347"/>
      <c r="C11" s="347"/>
      <c r="D11" s="347"/>
      <c r="E11" s="347"/>
      <c r="F11" s="347"/>
      <c r="G11" s="347"/>
      <c r="H11" s="347"/>
      <c r="I11" s="347"/>
      <c r="J11" s="347"/>
      <c r="K11" s="348"/>
    </row>
    <row r="12" spans="1:12">
      <c r="A12" s="346"/>
      <c r="B12" s="347"/>
      <c r="C12" s="347"/>
      <c r="D12" s="347"/>
      <c r="E12" s="347"/>
      <c r="F12" s="347"/>
      <c r="G12" s="347"/>
      <c r="H12" s="347"/>
      <c r="I12" s="347"/>
      <c r="J12" s="347"/>
      <c r="K12" s="348"/>
    </row>
    <row r="13" spans="1:12">
      <c r="A13" s="346"/>
      <c r="B13" s="347"/>
      <c r="C13" s="347"/>
      <c r="D13" s="347"/>
      <c r="E13" s="347"/>
      <c r="F13" s="347"/>
      <c r="G13" s="347"/>
      <c r="H13" s="347"/>
      <c r="I13" s="347"/>
      <c r="J13" s="347"/>
      <c r="K13" s="348"/>
    </row>
    <row r="14" spans="1:12">
      <c r="A14" s="346"/>
      <c r="B14" s="347"/>
      <c r="C14" s="347"/>
      <c r="D14" s="347"/>
      <c r="E14" s="347"/>
      <c r="F14" s="347"/>
      <c r="G14" s="347"/>
      <c r="H14" s="347"/>
      <c r="I14" s="347"/>
      <c r="J14" s="347"/>
      <c r="K14" s="348"/>
    </row>
    <row r="15" spans="1:12">
      <c r="A15" s="346"/>
      <c r="B15" s="347"/>
      <c r="C15" s="347"/>
      <c r="D15" s="347"/>
      <c r="E15" s="347"/>
      <c r="F15" s="347"/>
      <c r="G15" s="347"/>
      <c r="H15" s="347"/>
      <c r="I15" s="347"/>
      <c r="J15" s="347"/>
      <c r="K15" s="348"/>
    </row>
    <row r="16" spans="1:12">
      <c r="A16" s="346"/>
      <c r="B16" s="347"/>
      <c r="C16" s="347"/>
      <c r="D16" s="347"/>
      <c r="E16" s="347"/>
      <c r="F16" s="347"/>
      <c r="G16" s="347"/>
      <c r="H16" s="347"/>
      <c r="I16" s="347"/>
      <c r="J16" s="347"/>
      <c r="K16" s="348"/>
    </row>
    <row r="17" spans="1:11">
      <c r="A17" s="346"/>
      <c r="B17" s="347"/>
      <c r="C17" s="347"/>
      <c r="D17" s="347"/>
      <c r="E17" s="347"/>
      <c r="F17" s="347"/>
      <c r="G17" s="347"/>
      <c r="H17" s="347"/>
      <c r="I17" s="347"/>
      <c r="J17" s="347"/>
      <c r="K17" s="348"/>
    </row>
    <row r="18" spans="1:11">
      <c r="A18" s="346"/>
      <c r="B18" s="347"/>
      <c r="C18" s="347"/>
      <c r="D18" s="347"/>
      <c r="E18" s="347"/>
      <c r="F18" s="347"/>
      <c r="G18" s="347"/>
      <c r="H18" s="347"/>
      <c r="I18" s="347"/>
      <c r="J18" s="347"/>
      <c r="K18" s="348"/>
    </row>
    <row r="19" spans="1:11">
      <c r="A19" s="346"/>
      <c r="B19" s="347"/>
      <c r="C19" s="347"/>
      <c r="D19" s="347"/>
      <c r="E19" s="347"/>
      <c r="F19" s="347"/>
      <c r="G19" s="347"/>
      <c r="H19" s="347"/>
      <c r="I19" s="347"/>
      <c r="J19" s="347"/>
      <c r="K19" s="348"/>
    </row>
    <row r="20" spans="1:11">
      <c r="A20" s="346"/>
      <c r="B20" s="347"/>
      <c r="C20" s="347"/>
      <c r="D20" s="347"/>
      <c r="E20" s="347"/>
      <c r="F20" s="347"/>
      <c r="G20" s="347"/>
      <c r="H20" s="347"/>
      <c r="I20" s="347"/>
      <c r="J20" s="347"/>
      <c r="K20" s="348"/>
    </row>
    <row r="21" spans="1:11">
      <c r="A21" s="346"/>
      <c r="B21" s="347"/>
      <c r="C21" s="347"/>
      <c r="D21" s="347"/>
      <c r="E21" s="347"/>
      <c r="F21" s="347"/>
      <c r="G21" s="347"/>
      <c r="H21" s="347"/>
      <c r="I21" s="347"/>
      <c r="J21" s="347"/>
      <c r="K21" s="348"/>
    </row>
    <row r="22" spans="1:11">
      <c r="A22" s="346"/>
      <c r="B22" s="347"/>
      <c r="C22" s="347"/>
      <c r="D22" s="347"/>
      <c r="E22" s="347"/>
      <c r="F22" s="347"/>
      <c r="G22" s="347"/>
      <c r="H22" s="347"/>
      <c r="I22" s="347"/>
      <c r="J22" s="347"/>
      <c r="K22" s="348"/>
    </row>
    <row r="23" spans="1:11">
      <c r="A23" s="346"/>
      <c r="B23" s="347"/>
      <c r="C23" s="347"/>
      <c r="D23" s="347"/>
      <c r="E23" s="347"/>
      <c r="F23" s="347"/>
      <c r="G23" s="347"/>
      <c r="H23" s="347"/>
      <c r="I23" s="347"/>
      <c r="J23" s="347"/>
      <c r="K23" s="348"/>
    </row>
    <row r="24" spans="1:11">
      <c r="A24" s="346"/>
      <c r="B24" s="347"/>
      <c r="C24" s="347"/>
      <c r="D24" s="347"/>
      <c r="E24" s="347"/>
      <c r="F24" s="347"/>
      <c r="G24" s="347"/>
      <c r="H24" s="347"/>
      <c r="I24" s="347"/>
      <c r="J24" s="347"/>
      <c r="K24" s="348"/>
    </row>
    <row r="25" spans="1:11">
      <c r="A25" s="346"/>
      <c r="B25" s="347"/>
      <c r="C25" s="347"/>
      <c r="D25" s="347"/>
      <c r="E25" s="347"/>
      <c r="F25" s="347"/>
      <c r="G25" s="347"/>
      <c r="H25" s="347"/>
      <c r="I25" s="347"/>
      <c r="J25" s="347"/>
      <c r="K25" s="348"/>
    </row>
    <row r="26" spans="1:11">
      <c r="A26" s="346"/>
      <c r="B26" s="347"/>
      <c r="C26" s="347"/>
      <c r="D26" s="347"/>
      <c r="E26" s="347"/>
      <c r="F26" s="347"/>
      <c r="G26" s="347"/>
      <c r="H26" s="347"/>
      <c r="I26" s="347"/>
      <c r="J26" s="347"/>
      <c r="K26" s="348"/>
    </row>
    <row r="27" spans="1:11">
      <c r="A27" s="346"/>
      <c r="B27" s="347"/>
      <c r="C27" s="347"/>
      <c r="D27" s="347"/>
      <c r="E27" s="347"/>
      <c r="F27" s="347"/>
      <c r="G27" s="347"/>
      <c r="H27" s="347"/>
      <c r="I27" s="347"/>
      <c r="J27" s="347"/>
      <c r="K27" s="348"/>
    </row>
    <row r="28" spans="1:11">
      <c r="A28" s="346"/>
      <c r="B28" s="347"/>
      <c r="C28" s="347"/>
      <c r="D28" s="347"/>
      <c r="E28" s="347"/>
      <c r="F28" s="347"/>
      <c r="G28" s="347"/>
      <c r="H28" s="347"/>
      <c r="I28" s="347"/>
      <c r="J28" s="347"/>
      <c r="K28" s="348"/>
    </row>
    <row r="29" spans="1:11">
      <c r="A29" s="346"/>
      <c r="B29" s="347"/>
      <c r="C29" s="347"/>
      <c r="D29" s="347"/>
      <c r="E29" s="347"/>
      <c r="F29" s="347"/>
      <c r="G29" s="347"/>
      <c r="H29" s="347"/>
      <c r="I29" s="347"/>
      <c r="J29" s="347"/>
      <c r="K29" s="348"/>
    </row>
    <row r="30" spans="1:11">
      <c r="A30" s="346"/>
      <c r="B30" s="347"/>
      <c r="C30" s="347"/>
      <c r="D30" s="347"/>
      <c r="E30" s="347"/>
      <c r="F30" s="347"/>
      <c r="G30" s="347"/>
      <c r="H30" s="347"/>
      <c r="I30" s="347"/>
      <c r="J30" s="347"/>
      <c r="K30" s="348"/>
    </row>
    <row r="31" spans="1:11">
      <c r="A31" s="346"/>
      <c r="B31" s="347"/>
      <c r="C31" s="347"/>
      <c r="D31" s="347"/>
      <c r="E31" s="347"/>
      <c r="F31" s="347"/>
      <c r="G31" s="347"/>
      <c r="H31" s="347"/>
      <c r="I31" s="347"/>
      <c r="J31" s="347"/>
      <c r="K31" s="348"/>
    </row>
    <row r="32" spans="1:11">
      <c r="A32" s="346"/>
      <c r="B32" s="347"/>
      <c r="C32" s="347"/>
      <c r="D32" s="347"/>
      <c r="E32" s="347"/>
      <c r="F32" s="347"/>
      <c r="G32" s="347"/>
      <c r="H32" s="347"/>
      <c r="I32" s="347"/>
      <c r="J32" s="347"/>
      <c r="K32" s="348"/>
    </row>
    <row r="33" spans="1:11">
      <c r="A33" s="346"/>
      <c r="B33" s="347"/>
      <c r="C33" s="347"/>
      <c r="D33" s="347"/>
      <c r="E33" s="347"/>
      <c r="F33" s="347"/>
      <c r="G33" s="347"/>
      <c r="H33" s="347"/>
      <c r="I33" s="347"/>
      <c r="J33" s="347"/>
      <c r="K33" s="348"/>
    </row>
    <row r="34" spans="1:11">
      <c r="A34" s="346"/>
      <c r="B34" s="347"/>
      <c r="C34" s="347"/>
      <c r="D34" s="347"/>
      <c r="E34" s="347"/>
      <c r="F34" s="347"/>
      <c r="G34" s="347"/>
      <c r="H34" s="347"/>
      <c r="I34" s="347"/>
      <c r="J34" s="347"/>
      <c r="K34" s="348"/>
    </row>
    <row r="35" spans="1:11">
      <c r="A35" s="346"/>
      <c r="B35" s="347"/>
      <c r="C35" s="347"/>
      <c r="D35" s="347"/>
      <c r="E35" s="347"/>
      <c r="F35" s="347"/>
      <c r="G35" s="347"/>
      <c r="H35" s="347"/>
      <c r="I35" s="347"/>
      <c r="J35" s="347"/>
      <c r="K35" s="348"/>
    </row>
    <row r="36" spans="1:11">
      <c r="A36" s="346"/>
      <c r="B36" s="347"/>
      <c r="C36" s="347"/>
      <c r="D36" s="347"/>
      <c r="E36" s="347"/>
      <c r="F36" s="347"/>
      <c r="G36" s="347"/>
      <c r="H36" s="347"/>
      <c r="I36" s="347"/>
      <c r="J36" s="347"/>
      <c r="K36" s="348"/>
    </row>
    <row r="37" spans="1:11">
      <c r="A37" s="349"/>
      <c r="B37" s="350"/>
      <c r="C37" s="350"/>
      <c r="D37" s="350"/>
      <c r="E37" s="350"/>
      <c r="F37" s="350"/>
      <c r="G37" s="350"/>
      <c r="H37" s="350"/>
      <c r="I37" s="350"/>
      <c r="J37" s="350"/>
      <c r="K37" s="351"/>
    </row>
  </sheetData>
  <sheetProtection selectLockedCells="1" selectUnlockedCells="1"/>
  <mergeCells count="1">
    <mergeCell ref="A1:K37"/>
  </mergeCells>
  <phoneticPr fontId="19" type="noConversion"/>
  <pageMargins left="1" right="1" top="1" bottom="1" header="0.3" footer="0.3"/>
  <pageSetup scale="53" orientation="portrait" horizontalDpi="4294967293" verticalDpi="4294967293"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1">
    <tabColor rgb="FF7030A0"/>
    <pageSetUpPr fitToPage="1"/>
  </sheetPr>
  <dimension ref="A1:F42"/>
  <sheetViews>
    <sheetView showGridLines="0" zoomScale="90" zoomScaleNormal="90" workbookViewId="0">
      <selection sqref="A1:F42"/>
    </sheetView>
  </sheetViews>
  <sheetFormatPr defaultColWidth="9.08984375" defaultRowHeight="12.5"/>
  <cols>
    <col min="1" max="1" width="12.6328125" customWidth="1"/>
    <col min="2" max="5" width="24.54296875" customWidth="1"/>
    <col min="6" max="6" width="17.453125" customWidth="1"/>
  </cols>
  <sheetData>
    <row r="1" spans="1:6">
      <c r="A1" s="354" t="s">
        <v>139</v>
      </c>
      <c r="B1" s="344"/>
      <c r="C1" s="344"/>
      <c r="D1" s="344"/>
      <c r="E1" s="344"/>
      <c r="F1" s="345"/>
    </row>
    <row r="2" spans="1:6">
      <c r="A2" s="346"/>
      <c r="B2" s="347"/>
      <c r="C2" s="347"/>
      <c r="D2" s="347"/>
      <c r="E2" s="347"/>
      <c r="F2" s="348"/>
    </row>
    <row r="3" spans="1:6">
      <c r="A3" s="346"/>
      <c r="B3" s="347"/>
      <c r="C3" s="347"/>
      <c r="D3" s="347"/>
      <c r="E3" s="347"/>
      <c r="F3" s="348"/>
    </row>
    <row r="4" spans="1:6" ht="48.75" customHeight="1">
      <c r="A4" s="346"/>
      <c r="B4" s="347"/>
      <c r="C4" s="347"/>
      <c r="D4" s="347"/>
      <c r="E4" s="347"/>
      <c r="F4" s="348"/>
    </row>
    <row r="5" spans="1:6">
      <c r="A5" s="346"/>
      <c r="B5" s="347"/>
      <c r="C5" s="347"/>
      <c r="D5" s="347"/>
      <c r="E5" s="347"/>
      <c r="F5" s="348"/>
    </row>
    <row r="6" spans="1:6">
      <c r="A6" s="346"/>
      <c r="B6" s="347"/>
      <c r="C6" s="347"/>
      <c r="D6" s="347"/>
      <c r="E6" s="347"/>
      <c r="F6" s="348"/>
    </row>
    <row r="7" spans="1:6">
      <c r="A7" s="346"/>
      <c r="B7" s="347"/>
      <c r="C7" s="347"/>
      <c r="D7" s="347"/>
      <c r="E7" s="347"/>
      <c r="F7" s="348"/>
    </row>
    <row r="8" spans="1:6">
      <c r="A8" s="346"/>
      <c r="B8" s="347"/>
      <c r="C8" s="347"/>
      <c r="D8" s="347"/>
      <c r="E8" s="347"/>
      <c r="F8" s="348"/>
    </row>
    <row r="9" spans="1:6">
      <c r="A9" s="346"/>
      <c r="B9" s="347"/>
      <c r="C9" s="347"/>
      <c r="D9" s="347"/>
      <c r="E9" s="347"/>
      <c r="F9" s="348"/>
    </row>
    <row r="10" spans="1:6">
      <c r="A10" s="346"/>
      <c r="B10" s="347"/>
      <c r="C10" s="347"/>
      <c r="D10" s="347"/>
      <c r="E10" s="347"/>
      <c r="F10" s="348"/>
    </row>
    <row r="11" spans="1:6">
      <c r="A11" s="346"/>
      <c r="B11" s="347"/>
      <c r="C11" s="347"/>
      <c r="D11" s="347"/>
      <c r="E11" s="347"/>
      <c r="F11" s="348"/>
    </row>
    <row r="12" spans="1:6">
      <c r="A12" s="346"/>
      <c r="B12" s="347"/>
      <c r="C12" s="347"/>
      <c r="D12" s="347"/>
      <c r="E12" s="347"/>
      <c r="F12" s="348"/>
    </row>
    <row r="13" spans="1:6">
      <c r="A13" s="346"/>
      <c r="B13" s="347"/>
      <c r="C13" s="347"/>
      <c r="D13" s="347"/>
      <c r="E13" s="347"/>
      <c r="F13" s="348"/>
    </row>
    <row r="14" spans="1:6">
      <c r="A14" s="346"/>
      <c r="B14" s="347"/>
      <c r="C14" s="347"/>
      <c r="D14" s="347"/>
      <c r="E14" s="347"/>
      <c r="F14" s="348"/>
    </row>
    <row r="15" spans="1:6">
      <c r="A15" s="346"/>
      <c r="B15" s="347"/>
      <c r="C15" s="347"/>
      <c r="D15" s="347"/>
      <c r="E15" s="347"/>
      <c r="F15" s="348"/>
    </row>
    <row r="16" spans="1:6">
      <c r="A16" s="346"/>
      <c r="B16" s="347"/>
      <c r="C16" s="347"/>
      <c r="D16" s="347"/>
      <c r="E16" s="347"/>
      <c r="F16" s="348"/>
    </row>
    <row r="17" spans="1:6">
      <c r="A17" s="346"/>
      <c r="B17" s="347"/>
      <c r="C17" s="347"/>
      <c r="D17" s="347"/>
      <c r="E17" s="347"/>
      <c r="F17" s="348"/>
    </row>
    <row r="18" spans="1:6">
      <c r="A18" s="346"/>
      <c r="B18" s="347"/>
      <c r="C18" s="347"/>
      <c r="D18" s="347"/>
      <c r="E18" s="347"/>
      <c r="F18" s="348"/>
    </row>
    <row r="19" spans="1:6">
      <c r="A19" s="346"/>
      <c r="B19" s="347"/>
      <c r="C19" s="347"/>
      <c r="D19" s="347"/>
      <c r="E19" s="347"/>
      <c r="F19" s="348"/>
    </row>
    <row r="20" spans="1:6">
      <c r="A20" s="346"/>
      <c r="B20" s="347"/>
      <c r="C20" s="347"/>
      <c r="D20" s="347"/>
      <c r="E20" s="347"/>
      <c r="F20" s="348"/>
    </row>
    <row r="21" spans="1:6">
      <c r="A21" s="346"/>
      <c r="B21" s="347"/>
      <c r="C21" s="347"/>
      <c r="D21" s="347"/>
      <c r="E21" s="347"/>
      <c r="F21" s="348"/>
    </row>
    <row r="22" spans="1:6">
      <c r="A22" s="346"/>
      <c r="B22" s="347"/>
      <c r="C22" s="347"/>
      <c r="D22" s="347"/>
      <c r="E22" s="347"/>
      <c r="F22" s="348"/>
    </row>
    <row r="23" spans="1:6">
      <c r="A23" s="346"/>
      <c r="B23" s="347"/>
      <c r="C23" s="347"/>
      <c r="D23" s="347"/>
      <c r="E23" s="347"/>
      <c r="F23" s="348"/>
    </row>
    <row r="24" spans="1:6">
      <c r="A24" s="346"/>
      <c r="B24" s="347"/>
      <c r="C24" s="347"/>
      <c r="D24" s="347"/>
      <c r="E24" s="347"/>
      <c r="F24" s="348"/>
    </row>
    <row r="25" spans="1:6">
      <c r="A25" s="346"/>
      <c r="B25" s="347"/>
      <c r="C25" s="347"/>
      <c r="D25" s="347"/>
      <c r="E25" s="347"/>
      <c r="F25" s="348"/>
    </row>
    <row r="26" spans="1:6">
      <c r="A26" s="346"/>
      <c r="B26" s="347"/>
      <c r="C26" s="347"/>
      <c r="D26" s="347"/>
      <c r="E26" s="347"/>
      <c r="F26" s="348"/>
    </row>
    <row r="27" spans="1:6">
      <c r="A27" s="346"/>
      <c r="B27" s="347"/>
      <c r="C27" s="347"/>
      <c r="D27" s="347"/>
      <c r="E27" s="347"/>
      <c r="F27" s="348"/>
    </row>
    <row r="28" spans="1:6">
      <c r="A28" s="346"/>
      <c r="B28" s="347"/>
      <c r="C28" s="347"/>
      <c r="D28" s="347"/>
      <c r="E28" s="347"/>
      <c r="F28" s="348"/>
    </row>
    <row r="29" spans="1:6">
      <c r="A29" s="346"/>
      <c r="B29" s="347"/>
      <c r="C29" s="347"/>
      <c r="D29" s="347"/>
      <c r="E29" s="347"/>
      <c r="F29" s="348"/>
    </row>
    <row r="30" spans="1:6">
      <c r="A30" s="346"/>
      <c r="B30" s="347"/>
      <c r="C30" s="347"/>
      <c r="D30" s="347"/>
      <c r="E30" s="347"/>
      <c r="F30" s="348"/>
    </row>
    <row r="31" spans="1:6">
      <c r="A31" s="346"/>
      <c r="B31" s="347"/>
      <c r="C31" s="347"/>
      <c r="D31" s="347"/>
      <c r="E31" s="347"/>
      <c r="F31" s="348"/>
    </row>
    <row r="32" spans="1:6">
      <c r="A32" s="346"/>
      <c r="B32" s="347"/>
      <c r="C32" s="347"/>
      <c r="D32" s="347"/>
      <c r="E32" s="347"/>
      <c r="F32" s="348"/>
    </row>
    <row r="33" spans="1:6">
      <c r="A33" s="346"/>
      <c r="B33" s="347"/>
      <c r="C33" s="347"/>
      <c r="D33" s="347"/>
      <c r="E33" s="347"/>
      <c r="F33" s="348"/>
    </row>
    <row r="34" spans="1:6">
      <c r="A34" s="346"/>
      <c r="B34" s="347"/>
      <c r="C34" s="347"/>
      <c r="D34" s="347"/>
      <c r="E34" s="347"/>
      <c r="F34" s="348"/>
    </row>
    <row r="35" spans="1:6">
      <c r="A35" s="346"/>
      <c r="B35" s="347"/>
      <c r="C35" s="347"/>
      <c r="D35" s="347"/>
      <c r="E35" s="347"/>
      <c r="F35" s="348"/>
    </row>
    <row r="36" spans="1:6">
      <c r="A36" s="346"/>
      <c r="B36" s="347"/>
      <c r="C36" s="347"/>
      <c r="D36" s="347"/>
      <c r="E36" s="347"/>
      <c r="F36" s="348"/>
    </row>
    <row r="37" spans="1:6">
      <c r="A37" s="346"/>
      <c r="B37" s="347"/>
      <c r="C37" s="347"/>
      <c r="D37" s="347"/>
      <c r="E37" s="347"/>
      <c r="F37" s="348"/>
    </row>
    <row r="38" spans="1:6">
      <c r="A38" s="346"/>
      <c r="B38" s="347"/>
      <c r="C38" s="347"/>
      <c r="D38" s="347"/>
      <c r="E38" s="347"/>
      <c r="F38" s="348"/>
    </row>
    <row r="39" spans="1:6">
      <c r="A39" s="346"/>
      <c r="B39" s="347"/>
      <c r="C39" s="347"/>
      <c r="D39" s="347"/>
      <c r="E39" s="347"/>
      <c r="F39" s="348"/>
    </row>
    <row r="40" spans="1:6">
      <c r="A40" s="346"/>
      <c r="B40" s="347"/>
      <c r="C40" s="347"/>
      <c r="D40" s="347"/>
      <c r="E40" s="347"/>
      <c r="F40" s="348"/>
    </row>
    <row r="41" spans="1:6">
      <c r="A41" s="346"/>
      <c r="B41" s="347"/>
      <c r="C41" s="347"/>
      <c r="D41" s="347"/>
      <c r="E41" s="347"/>
      <c r="F41" s="348"/>
    </row>
    <row r="42" spans="1:6">
      <c r="A42" s="349"/>
      <c r="B42" s="350"/>
      <c r="C42" s="350"/>
      <c r="D42" s="350"/>
      <c r="E42" s="350"/>
      <c r="F42" s="351"/>
    </row>
  </sheetData>
  <sheetProtection selectLockedCells="1" selectUnlockedCells="1"/>
  <mergeCells count="1">
    <mergeCell ref="A1:F42"/>
  </mergeCells>
  <phoneticPr fontId="9" type="noConversion"/>
  <pageMargins left="1" right="1" top="1" bottom="1" header="0.3" footer="0.3"/>
  <pageSetup scale="65" orientation="portrait" horizontalDpi="4294967293" verticalDpi="4294967293"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5">
    <tabColor rgb="FF0AFA77"/>
  </sheetPr>
  <dimension ref="A1:B6"/>
  <sheetViews>
    <sheetView workbookViewId="0">
      <selection activeCell="B9" sqref="B9"/>
    </sheetView>
  </sheetViews>
  <sheetFormatPr defaultColWidth="8.90625" defaultRowHeight="20"/>
  <cols>
    <col min="1" max="1" width="19.90625" style="294" bestFit="1" customWidth="1"/>
    <col min="2" max="2" width="125.6328125" style="290" customWidth="1"/>
    <col min="3" max="3" width="25.08984375" style="290" customWidth="1"/>
    <col min="4" max="16384" width="8.90625" style="290"/>
  </cols>
  <sheetData>
    <row r="1" spans="1:2" ht="28.25" customHeight="1">
      <c r="A1" s="289" t="s">
        <v>419</v>
      </c>
    </row>
    <row r="3" spans="1:2">
      <c r="A3" s="291" t="s">
        <v>420</v>
      </c>
      <c r="B3" s="292" t="s">
        <v>421</v>
      </c>
    </row>
    <row r="4" spans="1:2" ht="60">
      <c r="A4" s="293">
        <v>42026</v>
      </c>
      <c r="B4" s="292" t="s">
        <v>535</v>
      </c>
    </row>
    <row r="5" spans="1:2">
      <c r="A5" s="293">
        <v>41530</v>
      </c>
      <c r="B5" s="292" t="s">
        <v>422</v>
      </c>
    </row>
    <row r="6" spans="1:2">
      <c r="A6" s="293">
        <v>43604</v>
      </c>
      <c r="B6" s="292" t="s">
        <v>536</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56</vt:i4>
      </vt:variant>
    </vt:vector>
  </HeadingPairs>
  <TitlesOfParts>
    <vt:vector size="112" baseType="lpstr">
      <vt:lpstr>INTRO</vt:lpstr>
      <vt:lpstr>Contents</vt:lpstr>
      <vt:lpstr>1.0 IRA</vt:lpstr>
      <vt:lpstr>2.1 BIRA2_1c</vt:lpstr>
      <vt:lpstr>2.2 BIRA2_1f</vt:lpstr>
      <vt:lpstr>2.3 BIRA2_1r</vt:lpstr>
      <vt:lpstr>2.4 BIRA3_1r</vt:lpstr>
      <vt:lpstr>2.5 BIRA4_1r</vt:lpstr>
      <vt:lpstr>3.1 CRA2_2r</vt:lpstr>
      <vt:lpstr>3.2 CRA3_3r</vt:lpstr>
      <vt:lpstr>3.3 CRA4_4r</vt:lpstr>
      <vt:lpstr>4.1 BCRA3_2f</vt:lpstr>
      <vt:lpstr>4.2 BCRA3_2r</vt:lpstr>
      <vt:lpstr>4.3 BCRA4_2r</vt:lpstr>
      <vt:lpstr>4.4 BCRA4_3f</vt:lpstr>
      <vt:lpstr>4.5 BCRA4_3r</vt:lpstr>
      <vt:lpstr>5.1 RD2_1f</vt:lpstr>
      <vt:lpstr>5.2 RD2_1r</vt:lpstr>
      <vt:lpstr>5.3 RDC_2r</vt:lpstr>
      <vt:lpstr>5.4 RDC_3r</vt:lpstr>
      <vt:lpstr>5.5 RD3_2f</vt:lpstr>
      <vt:lpstr>5.6 RD3_2r</vt:lpstr>
      <vt:lpstr>6.0 ITS</vt:lpstr>
      <vt:lpstr>1.0 N_IRA</vt:lpstr>
      <vt:lpstr>2.1 N_BRIA2_1c</vt:lpstr>
      <vt:lpstr>2.2 N_BIRA2_1f</vt:lpstr>
      <vt:lpstr>2.3 N_BIRA2_1r</vt:lpstr>
      <vt:lpstr>2.4 N_BIRA3_1r</vt:lpstr>
      <vt:lpstr>2.5 N_BIRA4_1r</vt:lpstr>
      <vt:lpstr>3.1 N_CRA2_2r</vt:lpstr>
      <vt:lpstr>3.2 N_CRA3_3r</vt:lpstr>
      <vt:lpstr>3.3 N_CRA4_4r</vt:lpstr>
      <vt:lpstr>4.1 N_BCRA3_2f</vt:lpstr>
      <vt:lpstr>4.2 N_BCRA3_2r</vt:lpstr>
      <vt:lpstr>4.3 N_BCRA4_2r</vt:lpstr>
      <vt:lpstr>4.4 N_BCRA4_3f</vt:lpstr>
      <vt:lpstr>4.5 N_BCRA4_3r</vt:lpstr>
      <vt:lpstr>5.1 N_RD2_1f</vt:lpstr>
      <vt:lpstr>5.2 N_RD2_1r</vt:lpstr>
      <vt:lpstr>5.3 N_RDC_2r</vt:lpstr>
      <vt:lpstr>5.4 N_RDC_3r</vt:lpstr>
      <vt:lpstr>5.5 N_RD3_2f</vt:lpstr>
      <vt:lpstr>5.6 N_RD3_2r</vt:lpstr>
      <vt:lpstr>6.0 N_ITS</vt:lpstr>
      <vt:lpstr>HARMON.MEAN</vt:lpstr>
      <vt:lpstr>References</vt:lpstr>
      <vt:lpstr>step 1</vt:lpstr>
      <vt:lpstr>step 1b</vt:lpstr>
      <vt:lpstr>step 2</vt:lpstr>
      <vt:lpstr>step 3</vt:lpstr>
      <vt:lpstr>step 4a</vt:lpstr>
      <vt:lpstr>step 4b</vt:lpstr>
      <vt:lpstr>step 4c</vt:lpstr>
      <vt:lpstr>step 4d</vt:lpstr>
      <vt:lpstr>step 5</vt:lpstr>
      <vt:lpstr>Notes</vt:lpstr>
      <vt:lpstr>'1.0 IRA'!Print_Area</vt:lpstr>
      <vt:lpstr>'1.0 N_IRA'!Print_Area</vt:lpstr>
      <vt:lpstr>'2.1 BIRA2_1c'!Print_Area</vt:lpstr>
      <vt:lpstr>'2.1 N_BRIA2_1c'!Print_Area</vt:lpstr>
      <vt:lpstr>'2.2 BIRA2_1f'!Print_Area</vt:lpstr>
      <vt:lpstr>'2.2 N_BIRA2_1f'!Print_Area</vt:lpstr>
      <vt:lpstr>'2.3 BIRA2_1r'!Print_Area</vt:lpstr>
      <vt:lpstr>'2.3 N_BIRA2_1r'!Print_Area</vt:lpstr>
      <vt:lpstr>'2.4 BIRA3_1r'!Print_Area</vt:lpstr>
      <vt:lpstr>'2.4 N_BIRA3_1r'!Print_Area</vt:lpstr>
      <vt:lpstr>'2.5 BIRA4_1r'!Print_Area</vt:lpstr>
      <vt:lpstr>'2.5 N_BIRA4_1r'!Print_Area</vt:lpstr>
      <vt:lpstr>'3.1 CRA2_2r'!Print_Area</vt:lpstr>
      <vt:lpstr>'3.1 N_CRA2_2r'!Print_Area</vt:lpstr>
      <vt:lpstr>'3.2 CRA3_3r'!Print_Area</vt:lpstr>
      <vt:lpstr>'3.2 N_CRA3_3r'!Print_Area</vt:lpstr>
      <vt:lpstr>'3.3 CRA4_4r'!Print_Area</vt:lpstr>
      <vt:lpstr>'3.3 N_CRA4_4r'!Print_Area</vt:lpstr>
      <vt:lpstr>'4.1 BCRA3_2f'!Print_Area</vt:lpstr>
      <vt:lpstr>'4.1 N_BCRA3_2f'!Print_Area</vt:lpstr>
      <vt:lpstr>'4.2 BCRA3_2r'!Print_Area</vt:lpstr>
      <vt:lpstr>'4.2 N_BCRA3_2r'!Print_Area</vt:lpstr>
      <vt:lpstr>'4.3 BCRA4_2r'!Print_Area</vt:lpstr>
      <vt:lpstr>'4.3 N_BCRA4_2r'!Print_Area</vt:lpstr>
      <vt:lpstr>'4.4 BCRA4_3f'!Print_Area</vt:lpstr>
      <vt:lpstr>'4.4 N_BCRA4_3f'!Print_Area</vt:lpstr>
      <vt:lpstr>'4.5 BCRA4_3r'!Print_Area</vt:lpstr>
      <vt:lpstr>'4.5 N_BCRA4_3r'!Print_Area</vt:lpstr>
      <vt:lpstr>'5.1 N_RD2_1f'!Print_Area</vt:lpstr>
      <vt:lpstr>'5.1 RD2_1f'!Print_Area</vt:lpstr>
      <vt:lpstr>'5.2 N_RD2_1r'!Print_Area</vt:lpstr>
      <vt:lpstr>'5.2 RD2_1r'!Print_Area</vt:lpstr>
      <vt:lpstr>'5.3 N_RDC_2r'!Print_Area</vt:lpstr>
      <vt:lpstr>'5.3 RDC_2r'!Print_Area</vt:lpstr>
      <vt:lpstr>'5.4 N_RDC_3r'!Print_Area</vt:lpstr>
      <vt:lpstr>'5.4 RDC_3r'!Print_Area</vt:lpstr>
      <vt:lpstr>'5.5 N_RD3_2f'!Print_Area</vt:lpstr>
      <vt:lpstr>'5.5 RD3_2f'!Print_Area</vt:lpstr>
      <vt:lpstr>'5.6 N_RD3_2r'!Print_Area</vt:lpstr>
      <vt:lpstr>'5.6 RD3_2r'!Print_Area</vt:lpstr>
      <vt:lpstr>'6.0 ITS'!Print_Area</vt:lpstr>
      <vt:lpstr>'6.0 N_ITS'!Print_Area</vt:lpstr>
      <vt:lpstr>Contents!Print_Area</vt:lpstr>
      <vt:lpstr>HARMON.MEAN!Print_Area</vt:lpstr>
      <vt:lpstr>INTRO!Print_Area</vt:lpstr>
      <vt:lpstr>References!Print_Area</vt:lpstr>
      <vt:lpstr>'step 1'!Print_Area</vt:lpstr>
      <vt:lpstr>'step 1b'!Print_Area</vt:lpstr>
      <vt:lpstr>'step 2'!Print_Area</vt:lpstr>
      <vt:lpstr>'step 3'!Print_Area</vt:lpstr>
      <vt:lpstr>'step 4a'!Print_Area</vt:lpstr>
      <vt:lpstr>'step 4b'!Print_Area</vt:lpstr>
      <vt:lpstr>'step 4c'!Print_Area</vt:lpstr>
      <vt:lpstr>'step 4d'!Print_Area</vt:lpstr>
      <vt:lpstr>'step 5'!Print_Area</vt:lpstr>
      <vt:lpstr>References</vt:lpstr>
    </vt:vector>
  </TitlesOfParts>
  <Company>GSE/UPENN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Nianbo Dong</dc:creator>
  <cp:lastModifiedBy>Matthew s</cp:lastModifiedBy>
  <cp:lastPrinted>2015-01-21T16:53:16Z</cp:lastPrinted>
  <dcterms:created xsi:type="dcterms:W3CDTF">2006-11-13T22:35:35Z</dcterms:created>
  <dcterms:modified xsi:type="dcterms:W3CDTF">2023-09-12T18:50:05Z</dcterms:modified>
</cp:coreProperties>
</file>